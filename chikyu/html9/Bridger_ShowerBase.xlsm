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filterPrivacy="1" codeName="ThisWorkbook" defaultThemeVersion="124226"/>
  <xr:revisionPtr revIDLastSave="175" documentId="8_{58A8032E-B37E-43D9-9060-A29FA83D1B8B}" xr6:coauthVersionLast="45" xr6:coauthVersionMax="45" xr10:uidLastSave="{83D4055E-1FEA-440E-A8B3-B667B91555CE}"/>
  <bookViews>
    <workbookView xWindow="-98" yWindow="-98" windowWidth="28996" windowHeight="15796" xr2:uid="{00000000-000D-0000-FFFF-FFFF00000000}"/>
  </bookViews>
  <sheets>
    <sheet name="Showerbase" sheetId="4" r:id="rId1"/>
    <sheet name="Export" sheetId="18" r:id="rId2"/>
    <sheet name="Tub Replacement (New)" sheetId="11" r:id="rId3"/>
    <sheet name="Medium (New)" sheetId="12" r:id="rId4"/>
    <sheet name="Giant (New)" sheetId="13" r:id="rId5"/>
    <sheet name="Small (Old)" sheetId="16" r:id="rId6"/>
    <sheet name="Medium (Old)" sheetId="15" r:id="rId7"/>
    <sheet name="Giant (Old)" sheetId="14" r:id="rId8"/>
    <sheet name="Colorswatch" sheetId="17" r:id="rId9"/>
    <sheet name="Diagrams" sheetId="19" r:id="rId10"/>
  </sheets>
  <definedNames>
    <definedName name="Adhesive">Showerbase!$F$82</definedName>
    <definedName name="BaseOnlySquareFeet">Showerbase!$F$70</definedName>
    <definedName name="BoxLength_noThresh">Showerbase!$F$104</definedName>
    <definedName name="BoxLength_withThresh">Showerbase!$F$102</definedName>
    <definedName name="BoxWidth_noThresh">Showerbase!$F$103</definedName>
    <definedName name="BoxWidth_withThresh">Showerbase!$F$101</definedName>
    <definedName name="BufferLevel">Showerbase!$Y$37</definedName>
    <definedName name="ColorLookup">INDEX(Colorswatch!$B$2:$B$5,MATCH(FloorColor,Colorswatch!$A$2:$A$5,0))</definedName>
    <definedName name="CompanyName">Showerbase!$F$85</definedName>
    <definedName name="Date">Showerbase!$F$84</definedName>
    <definedName name="DiagramLookup">INDEX(Diagrams!$B$2:$B$5,MATCH(Layout,Diagrams!$A$2:$A$5,0))</definedName>
    <definedName name="DimensionA">Showerbase!$F$66</definedName>
    <definedName name="DimensionA_Expanded">Showerbase!$U$17</definedName>
    <definedName name="DimensionB">Showerbase!$F$67</definedName>
    <definedName name="DimensionB_Expanded">Showerbase!$U$18</definedName>
    <definedName name="DimensionC">Showerbase!$F$68</definedName>
    <definedName name="DimensionC_Expanded">Showerbase!$U$19</definedName>
    <definedName name="DimensionCOpp_Expanded">Showerbase!$U$22</definedName>
    <definedName name="DimensionD">Showerbase!$F$69</definedName>
    <definedName name="DimensionD_Expanded">Showerbase!$U$20</definedName>
    <definedName name="DimensionDOpp_Expanded">Showerbase!$U$23</definedName>
    <definedName name="FloorColor">Showerbase!$F$64</definedName>
    <definedName name="Jobname">Showerbase!$F$62</definedName>
    <definedName name="Layout">Showerbase!$F$63</definedName>
    <definedName name="LgExpansionBuffer">Showerbase!$Y$35</definedName>
    <definedName name="MatrixWeight">Showerbase!$Y$32</definedName>
    <definedName name="Minimum_Thickness">Showerbase!$Y$30</definedName>
    <definedName name="MInimumThickness">Showerbase!$Y$30</definedName>
    <definedName name="Notes">Showerbase!$F$87</definedName>
    <definedName name="OverallDimension_Label">Showerbase!$F$98</definedName>
    <definedName name="OverallLength">Showerbase!$F$96</definedName>
    <definedName name="OverallSize">Showerbase!$F$65</definedName>
    <definedName name="OverallWidth">Showerbase!$F$97</definedName>
    <definedName name="_xlnm.Print_Area" localSheetId="0">Showerbase!$A$1:$L$46</definedName>
    <definedName name="Priority">Showerbase!$F$86</definedName>
    <definedName name="Q1_LegH">Showerbase!$X$17</definedName>
    <definedName name="Q1_LegV">Showerbase!$Y$17</definedName>
    <definedName name="Q1_Weight">Showerbase!$Y$52</definedName>
    <definedName name="Q2_LegH">Showerbase!$X$18</definedName>
    <definedName name="Q2_LegV">Showerbase!$Y$18</definedName>
    <definedName name="Q2_Weight">Showerbase!$Y$70</definedName>
    <definedName name="Q3_LegH">Showerbase!$X$19</definedName>
    <definedName name="Q3_LegV">Showerbase!$Y$19</definedName>
    <definedName name="Q3_Weight">Showerbase!$Y$91</definedName>
    <definedName name="Q4_LegH">Showerbase!$X$20</definedName>
    <definedName name="Q4_LegV">Showerbase!$Y$20</definedName>
    <definedName name="Q4_Weight">Showerbase!$Y$106</definedName>
    <definedName name="ShipTo">Showerbase!$F$83</definedName>
    <definedName name="SideCap">Showerbase!$F$81</definedName>
    <definedName name="Slope">Showerbase!$Y$31</definedName>
    <definedName name="SmExpansionBuffer">Showerbase!$Y$34</definedName>
    <definedName name="Threshold">Showerbase!#REF!</definedName>
    <definedName name="ThresholdColor">Showerbase!$F$72</definedName>
    <definedName name="ThresholdDimA">Showerbase!$F$77</definedName>
    <definedName name="ThresholdDimB">Showerbase!$F$78</definedName>
    <definedName name="ThresholdDimE">Showerbase!$F$79</definedName>
    <definedName name="ThresholdDimensionA">Showerbase!$C$60</definedName>
    <definedName name="ThresholdDimF">Showerbase!$F$80</definedName>
    <definedName name="ThresholdFits">Showerbase!$F$93</definedName>
    <definedName name="ThresholdHeight">Showerbase!$F$92</definedName>
    <definedName name="ThresholdInsideLeg">Showerbase!$F$75</definedName>
    <definedName name="ThresholdMatchOrDifferent">Showerbase!$F$90</definedName>
    <definedName name="ThresholdOutsideLeg">Showerbase!$F$76</definedName>
    <definedName name="ThresholdStyle">Showerbase!$F$73</definedName>
    <definedName name="ThresholdWidth">Showerbase!$F$74</definedName>
    <definedName name="WaterDamAttach">Showerbase!$F$71</definedName>
    <definedName name="WaterDams">Showerbase!$F$107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2" i="4" l="1"/>
  <c r="G20" i="4" s="1"/>
  <c r="F71" i="4" l="1"/>
  <c r="F87" i="4" l="1"/>
  <c r="E8" i="4" l="1"/>
  <c r="F86" i="4"/>
  <c r="B8" i="4" s="1"/>
  <c r="F64" i="4"/>
  <c r="F3" i="4" s="1"/>
  <c r="F63" i="4"/>
  <c r="F96" i="4" l="1"/>
  <c r="F74" i="4"/>
  <c r="F75" i="4"/>
  <c r="F76" i="4"/>
  <c r="F77" i="4"/>
  <c r="F78" i="4"/>
  <c r="F79" i="4"/>
  <c r="F80" i="4"/>
  <c r="F81" i="4"/>
  <c r="F73" i="4"/>
  <c r="F72" i="4"/>
  <c r="F70" i="4"/>
  <c r="F67" i="4"/>
  <c r="F103" i="4" s="1" a="1"/>
  <c r="F103" i="4" s="1"/>
  <c r="F68" i="4"/>
  <c r="L15" i="4" s="1"/>
  <c r="F69" i="4"/>
  <c r="L16" i="4" s="1"/>
  <c r="F66" i="4"/>
  <c r="F104" i="4" s="1"/>
  <c r="F65" i="4"/>
  <c r="F97" i="4" l="1"/>
  <c r="F101" i="4" s="1" a="1"/>
  <c r="F101" i="4" s="1"/>
  <c r="L14" i="4"/>
  <c r="F91" i="4"/>
  <c r="F92" i="4" s="1" a="1"/>
  <c r="F92" i="4" s="1"/>
  <c r="G15" i="4" s="1"/>
  <c r="G16" i="4"/>
  <c r="F90" i="4"/>
  <c r="G18" i="4" s="1"/>
  <c r="G17" i="4"/>
  <c r="L13" i="4"/>
  <c r="F93" i="4" l="1"/>
  <c r="L18" i="4"/>
  <c r="L17" i="4"/>
  <c r="F102" i="4"/>
  <c r="F98" i="4"/>
  <c r="G111" i="4"/>
  <c r="D111" i="4"/>
  <c r="D113" i="4"/>
  <c r="D112" i="4"/>
  <c r="G112" i="4"/>
  <c r="G14" i="4" l="1"/>
  <c r="G13" i="4"/>
  <c r="G114" i="4"/>
  <c r="D114" i="4"/>
  <c r="F107" i="4" s="1" a="1"/>
  <c r="F107" i="4" s="1"/>
  <c r="F85" i="4"/>
  <c r="F84" i="4"/>
  <c r="J9" i="4" s="1"/>
  <c r="F83" i="4"/>
  <c r="F5" i="4" s="1"/>
  <c r="F62" i="4"/>
  <c r="F9" i="4" s="1"/>
  <c r="F61" i="4"/>
  <c r="G19" i="4" l="1"/>
  <c r="B9" i="4"/>
  <c r="F1" i="4"/>
  <c r="F2" i="4"/>
  <c r="F4" i="4" l="1"/>
  <c r="B19" i="4"/>
  <c r="B18" i="4"/>
  <c r="B17" i="4"/>
  <c r="C19" i="4"/>
  <c r="C18" i="4"/>
  <c r="C17" i="4"/>
  <c r="B15" i="4"/>
  <c r="C15" i="4"/>
  <c r="B14" i="4"/>
  <c r="C14" i="4"/>
  <c r="B13" i="4"/>
  <c r="C13" i="4"/>
  <c r="U20" i="4" l="1"/>
  <c r="Z20" i="4" s="1"/>
  <c r="U19" i="4"/>
  <c r="Z19" i="4" s="1"/>
  <c r="U18" i="4"/>
  <c r="Z18" i="4" s="1"/>
  <c r="U17" i="4"/>
  <c r="Z17" i="4" s="1"/>
  <c r="D11" i="16" l="1"/>
  <c r="D21" i="16"/>
  <c r="D13" i="16"/>
  <c r="D23" i="16"/>
  <c r="D19" i="16"/>
  <c r="D9" i="16"/>
  <c r="D20" i="16"/>
  <c r="D10" i="16"/>
  <c r="D23" i="15"/>
  <c r="D13" i="15"/>
  <c r="D21" i="15"/>
  <c r="D11" i="15"/>
  <c r="D19" i="15"/>
  <c r="D9" i="15"/>
  <c r="D10" i="15"/>
  <c r="D20" i="15"/>
  <c r="D21" i="14"/>
  <c r="D11" i="14"/>
  <c r="D23" i="14"/>
  <c r="D13" i="14"/>
  <c r="D9" i="14"/>
  <c r="D19" i="14"/>
  <c r="D20" i="14"/>
  <c r="D10" i="14"/>
  <c r="D11" i="13"/>
  <c r="D21" i="13"/>
  <c r="D9" i="13"/>
  <c r="D19" i="13"/>
  <c r="D10" i="13"/>
  <c r="D20" i="13"/>
  <c r="D23" i="13"/>
  <c r="D13" i="13"/>
  <c r="D11" i="12"/>
  <c r="D21" i="12"/>
  <c r="D41" i="12"/>
  <c r="D31" i="12"/>
  <c r="D19" i="12"/>
  <c r="D29" i="12"/>
  <c r="D9" i="12"/>
  <c r="D39" i="12"/>
  <c r="D10" i="12"/>
  <c r="D40" i="12"/>
  <c r="D20" i="12"/>
  <c r="D30" i="12"/>
  <c r="D23" i="12"/>
  <c r="D33" i="12"/>
  <c r="D43" i="12"/>
  <c r="D13" i="12"/>
  <c r="D39" i="11"/>
  <c r="D29" i="11"/>
  <c r="D19" i="11"/>
  <c r="U22" i="4"/>
  <c r="D31" i="11"/>
  <c r="D21" i="11"/>
  <c r="D41" i="11"/>
  <c r="D40" i="11"/>
  <c r="D30" i="11"/>
  <c r="D20" i="11"/>
  <c r="D13" i="11"/>
  <c r="D23" i="11"/>
  <c r="D43" i="11"/>
  <c r="D33" i="11"/>
  <c r="U23" i="4"/>
  <c r="D11" i="11"/>
  <c r="D9" i="11"/>
  <c r="D10" i="11"/>
  <c r="X18" i="4"/>
  <c r="X60" i="4" s="1"/>
  <c r="Y17" i="4"/>
  <c r="X43" i="4" s="1"/>
  <c r="Y18" i="4"/>
  <c r="X61" i="4" s="1"/>
  <c r="X20" i="4"/>
  <c r="X96" i="4" s="1"/>
  <c r="X19" i="4"/>
  <c r="X79" i="4" s="1"/>
  <c r="X17" i="4"/>
  <c r="X42" i="4" s="1"/>
  <c r="Y20" i="4"/>
  <c r="X97" i="4" s="1"/>
  <c r="Y19" i="4"/>
  <c r="X80" i="4" s="1"/>
  <c r="X45" i="4" l="1"/>
  <c r="D14" i="16"/>
  <c r="D24" i="16"/>
  <c r="D22" i="16"/>
  <c r="D12" i="16"/>
  <c r="D14" i="15"/>
  <c r="D24" i="15"/>
  <c r="D12" i="15"/>
  <c r="D22" i="15"/>
  <c r="D14" i="14"/>
  <c r="D24" i="14"/>
  <c r="D12" i="14"/>
  <c r="D22" i="14"/>
  <c r="D14" i="13"/>
  <c r="D24" i="13"/>
  <c r="D12" i="13"/>
  <c r="D22" i="13"/>
  <c r="D34" i="12"/>
  <c r="D44" i="12"/>
  <c r="D24" i="12"/>
  <c r="D14" i="12"/>
  <c r="D12" i="12"/>
  <c r="D22" i="12"/>
  <c r="D32" i="12"/>
  <c r="D42" i="12"/>
  <c r="D22" i="11"/>
  <c r="D32" i="11"/>
  <c r="D42" i="11"/>
  <c r="D12" i="11"/>
  <c r="D24" i="11"/>
  <c r="D44" i="11"/>
  <c r="D14" i="11"/>
  <c r="D34" i="11"/>
  <c r="X64" i="4"/>
  <c r="X65" i="4" s="1"/>
  <c r="X66" i="4" s="1"/>
  <c r="X67" i="4" s="1"/>
  <c r="X68" i="4" s="1"/>
  <c r="X63" i="4"/>
  <c r="X99" i="4"/>
  <c r="X83" i="4"/>
  <c r="X84" i="4" s="1"/>
  <c r="X85" i="4" s="1"/>
  <c r="X88" i="4" s="1"/>
  <c r="X89" i="4" s="1"/>
  <c r="X82" i="4"/>
  <c r="X46" i="4"/>
  <c r="X47" i="4" s="1"/>
  <c r="X48" i="4" s="1"/>
  <c r="X49" i="4" s="1"/>
  <c r="X50" i="4" s="1"/>
  <c r="X100" i="4"/>
  <c r="X101" i="4" s="1"/>
  <c r="X102" i="4" s="1"/>
  <c r="X103" i="4" s="1"/>
  <c r="X104" i="4" s="1"/>
  <c r="X52" i="4" l="1"/>
  <c r="Y52" i="4" s="1"/>
  <c r="D25" i="16"/>
  <c r="D15" i="16"/>
  <c r="D15" i="14"/>
  <c r="D25" i="15"/>
  <c r="D15" i="15"/>
  <c r="D25" i="14"/>
  <c r="D25" i="13"/>
  <c r="D15" i="13"/>
  <c r="D25" i="11"/>
  <c r="D45" i="12"/>
  <c r="D35" i="12"/>
  <c r="D25" i="12"/>
  <c r="D15" i="12"/>
  <c r="D15" i="11"/>
  <c r="D45" i="11"/>
  <c r="D35" i="11"/>
  <c r="X70" i="4"/>
  <c r="Y70" i="4" s="1"/>
  <c r="X106" i="4"/>
  <c r="Y106" i="4" s="1"/>
  <c r="X91" i="4"/>
  <c r="Y91" i="4" s="1"/>
  <c r="B2" i="14" l="1"/>
  <c r="D19" i="4" s="1"/>
  <c r="B2" i="16"/>
  <c r="D17" i="4" s="1"/>
  <c r="B2" i="15"/>
  <c r="D18" i="4" s="1"/>
  <c r="B2" i="13"/>
  <c r="D15" i="4" s="1"/>
  <c r="B2" i="12"/>
  <c r="D14" i="4" s="1"/>
  <c r="B2" i="11"/>
  <c r="D13" i="4" s="1"/>
  <c r="Y108" i="4"/>
  <c r="L9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<sst xmlns="http://schemas.openxmlformats.org/spreadsheetml/2006/main" count="420" uniqueCount="213">
  <si>
    <t>A:</t>
  </si>
  <si>
    <t>After Expansion</t>
  </si>
  <si>
    <t>LegH</t>
  </si>
  <si>
    <t>LegV</t>
  </si>
  <si>
    <t>B:</t>
  </si>
  <si>
    <t>Quadrant I:</t>
  </si>
  <si>
    <t>C:</t>
  </si>
  <si>
    <t>White</t>
  </si>
  <si>
    <t>Quadrant II:</t>
  </si>
  <si>
    <t>D:</t>
  </si>
  <si>
    <t>Quadrant III:</t>
  </si>
  <si>
    <t>Quadrant IV:</t>
  </si>
  <si>
    <t>CONSTANTS</t>
  </si>
  <si>
    <t>Minimum Thickness:</t>
  </si>
  <si>
    <t>Slope p/linear foot (in):</t>
  </si>
  <si>
    <t>Matrix Weight (CuFt):</t>
  </si>
  <si>
    <t>*using classic ath formula!!  115lbs was what it used to be, but that number is for the Yellow Box Jose enters into - to be * .75</t>
  </si>
  <si>
    <t>Small Expansion Buffer (in):</t>
  </si>
  <si>
    <t>Large Expansion Buffer (in):</t>
  </si>
  <si>
    <t>Apply Large Expansion Buffer if &gt;= how many inches?</t>
  </si>
  <si>
    <t>*Small Expansion is always applied as default.  If a dimension is greater than this number, "Large Expansion Buffer" is applied</t>
  </si>
  <si>
    <t>QUADRANT I</t>
  </si>
  <si>
    <t>Quadrant LegH:</t>
  </si>
  <si>
    <t>Quadrant LegV:</t>
  </si>
  <si>
    <t>Quadrant Square Inches:</t>
  </si>
  <si>
    <t>Hypotenuse Length (in):</t>
  </si>
  <si>
    <t>Hypotenuse midpoint (in):</t>
  </si>
  <si>
    <t>Hypotenuse midpoint (ft):</t>
  </si>
  <si>
    <t>Midpoint of slope (inches thick):</t>
  </si>
  <si>
    <t>*This is the number we use as a flat sheet thickness instead of dealing with slope.</t>
  </si>
  <si>
    <t>Total Thickness (with base):</t>
  </si>
  <si>
    <t>Cubic feet of this Quadrant:</t>
  </si>
  <si>
    <t>Weight of Matrix</t>
  </si>
  <si>
    <t>QUADRANT II</t>
  </si>
  <si>
    <t>QUADRANT III</t>
  </si>
  <si>
    <t>QUADRANT IV</t>
  </si>
  <si>
    <t>Total Weight For All 4 Quadrants:</t>
  </si>
  <si>
    <t>Biscuit</t>
  </si>
  <si>
    <t>Almond</t>
  </si>
  <si>
    <t>Mold Name</t>
  </si>
  <si>
    <t>Mold Name:</t>
  </si>
  <si>
    <t>Max A</t>
  </si>
  <si>
    <t>Max B</t>
  </si>
  <si>
    <t>Max D</t>
  </si>
  <si>
    <t>Max C</t>
  </si>
  <si>
    <t>Overall Dims:</t>
  </si>
  <si>
    <t>Texture:</t>
  </si>
  <si>
    <t>120x96</t>
  </si>
  <si>
    <t>Medium</t>
  </si>
  <si>
    <t>120x72</t>
  </si>
  <si>
    <t>Small</t>
  </si>
  <si>
    <t>84x60</t>
  </si>
  <si>
    <t>96x61</t>
  </si>
  <si>
    <t>Max C (opposite)</t>
  </si>
  <si>
    <t>Max D (opposite)</t>
  </si>
  <si>
    <t>72x40</t>
  </si>
  <si>
    <t>What if we flip the picture 180 degrees? (upside down)</t>
  </si>
  <si>
    <t>Max C @180</t>
  </si>
  <si>
    <t>Max C @180 (opposite)</t>
  </si>
  <si>
    <t>Max D @180</t>
  </si>
  <si>
    <t>Max D @180 (opposite)</t>
  </si>
  <si>
    <t>Max C @ 90</t>
  </si>
  <si>
    <t>Max D @ 90</t>
  </si>
  <si>
    <t>Max D @ 90 (opposite)</t>
  </si>
  <si>
    <t>Max C @ 90 (opposite)</t>
  </si>
  <si>
    <t>Max C @ 270</t>
  </si>
  <si>
    <t>Max C @ 270 (opposite)</t>
  </si>
  <si>
    <t>Max D @ 270</t>
  </si>
  <si>
    <t>Max D @ 270 (opposite)</t>
  </si>
  <si>
    <t>Fits?</t>
  </si>
  <si>
    <t>FYI, opposite of D After Expansion</t>
  </si>
  <si>
    <t>FYI, opposite of C After Expansion</t>
  </si>
  <si>
    <t>Does the pan fit on this mold exactly as shown per the picture?*</t>
  </si>
  <si>
    <t>What if we flip the picture 90 degrees clockwise?</t>
  </si>
  <si>
    <t>What if we flip the picture 270 degrees clockwise?</t>
  </si>
  <si>
    <r>
      <t xml:space="preserve">Fits?  </t>
    </r>
    <r>
      <rPr>
        <i/>
        <sz val="9"/>
        <color theme="1"/>
        <rFont val="Calibri"/>
        <family val="2"/>
        <scheme val="minor"/>
      </rPr>
      <t>*0 = Yes it fits, 1 = No it doesn't fit</t>
    </r>
  </si>
  <si>
    <t xml:space="preserve">THESE PICTURES BELOW ARE THE MOLDS.  USEABLE SIZE ONLY.  </t>
  </si>
  <si>
    <t>THE RED NUMBERS SHOWN ARE OBTAINED BY STANDING IN FRONT OF THE MOLD FROM ALL 4 SIDES.</t>
  </si>
  <si>
    <t>THE NUMBERS FOR EACH POSITION ARE COMPARED TO THE SHOWER BASE ORDER ON PAGE 1 TO DETERMINE IF IT FITS.</t>
  </si>
  <si>
    <t>New</t>
  </si>
  <si>
    <t>Old</t>
  </si>
  <si>
    <t>Giant</t>
  </si>
  <si>
    <t>Tub Replacement</t>
  </si>
  <si>
    <t>Texture</t>
  </si>
  <si>
    <t>Medium Offset</t>
  </si>
  <si>
    <t>Customer Name</t>
  </si>
  <si>
    <t>Jobname</t>
  </si>
  <si>
    <t>Box Length:</t>
  </si>
  <si>
    <t>Box Width:</t>
  </si>
  <si>
    <t>Product:</t>
  </si>
  <si>
    <t>Jobname:</t>
  </si>
  <si>
    <t>Base Only Square Feet:</t>
  </si>
  <si>
    <t>Water Dams:</t>
  </si>
  <si>
    <t>Ship To:</t>
  </si>
  <si>
    <t>Date:</t>
  </si>
  <si>
    <t>Customer Name:</t>
  </si>
  <si>
    <t>Transform Export Worksheet</t>
  </si>
  <si>
    <t>Company Name:</t>
  </si>
  <si>
    <t xml:space="preserve"> //Always reads "Shower Base (Base Only)</t>
  </si>
  <si>
    <t xml:space="preserve">  // Date the Order was placed/approved.</t>
  </si>
  <si>
    <t>FILENAME:</t>
  </si>
  <si>
    <t>Jobname_Product.xlsm</t>
  </si>
  <si>
    <t>RyanGiron_ShowerBase.xlsm</t>
  </si>
  <si>
    <t>Date</t>
  </si>
  <si>
    <t>Layout:</t>
  </si>
  <si>
    <t>Floor Color:</t>
  </si>
  <si>
    <t>Overall Size:</t>
  </si>
  <si>
    <t>Threshold Color:</t>
  </si>
  <si>
    <t>Threshold Style:</t>
  </si>
  <si>
    <t>Threshold Width:</t>
  </si>
  <si>
    <t>Threshold Inside Leg:</t>
  </si>
  <si>
    <t>Threshold Outside Leg:</t>
  </si>
  <si>
    <t>Threshold Dimension A:</t>
  </si>
  <si>
    <t>Threshold Dimension B:</t>
  </si>
  <si>
    <t>Threshold Dimension E:</t>
  </si>
  <si>
    <t>Threshold Dimension F:</t>
  </si>
  <si>
    <t>Side Cap:</t>
  </si>
  <si>
    <t xml:space="preserve"> // Possible Options: "n/a" or "Left" or "Right"</t>
  </si>
  <si>
    <t xml:space="preserve"> // Only Write IF Layout &lt;&gt; "Base Only"</t>
  </si>
  <si>
    <t xml:space="preserve"> // Possible Options: "Base Only", "Single Threshold", "Double Threshold", "Neo-Angle Threshold"</t>
  </si>
  <si>
    <t>Shower Base (Companion)</t>
  </si>
  <si>
    <t>Base Only Dimension A:</t>
  </si>
  <si>
    <t>Base Only Dimension B:</t>
  </si>
  <si>
    <t>Drain Dimension C:</t>
  </si>
  <si>
    <t>Drain Dimension D:</t>
  </si>
  <si>
    <t>Side A</t>
  </si>
  <si>
    <t>Double / Neo</t>
  </si>
  <si>
    <t>Total</t>
  </si>
  <si>
    <t>Layout Type</t>
  </si>
  <si>
    <t>Water Dam Calculation Grid</t>
  </si>
  <si>
    <t>Side B (Left Side)</t>
  </si>
  <si>
    <t>Side B (Right Side)</t>
  </si>
  <si>
    <t xml:space="preserve"> // Possible Options: "No Water Dams", "Leave Unattached (Recommended)" "Preattach Water Dams To Base"</t>
  </si>
  <si>
    <t>Priority:</t>
  </si>
  <si>
    <t>n/a</t>
  </si>
  <si>
    <t>Main - 1234 Main Dr, IL</t>
  </si>
  <si>
    <t xml:space="preserve"> 08/08/2020</t>
  </si>
  <si>
    <t xml:space="preserve"> Globex Corporation</t>
  </si>
  <si>
    <t>Notes:</t>
  </si>
  <si>
    <t>Priority</t>
  </si>
  <si>
    <t>Notes</t>
  </si>
  <si>
    <t xml:space="preserve"> // Only for use with "Custom" sized thresholds, ELSE = leave as "n/a"</t>
  </si>
  <si>
    <t xml:space="preserve"> // Only for use with "Double" OR "Neo" threshold, ELSE leave as "n/a"</t>
  </si>
  <si>
    <t xml:space="preserve"> // Only for use with NEO ANGLE threshold, ELSE leave as "n/a"</t>
  </si>
  <si>
    <t>Floor Only Dimension A:</t>
  </si>
  <si>
    <t>Floor Only Dimension B:</t>
  </si>
  <si>
    <t>Joanna</t>
  </si>
  <si>
    <t>PREATTACH WATER DAMS</t>
  </si>
  <si>
    <t>Water Dam Attach?:</t>
  </si>
  <si>
    <t>Single Threshold</t>
  </si>
  <si>
    <t>Bridger</t>
  </si>
  <si>
    <t>Base Only</t>
  </si>
  <si>
    <t>White</t>
  </si>
  <si>
    <t>n/a</t>
  </si>
  <si>
    <t>53.75</t>
  </si>
  <si>
    <t>32.75</t>
  </si>
  <si>
    <t>8</t>
  </si>
  <si>
    <t>16.375</t>
  </si>
  <si>
    <t>12.224</t>
  </si>
  <si>
    <t>Leave Unattached (Recommended)</t>
  </si>
  <si>
    <t>n/a</t>
  </si>
  <si>
    <t>n/a</t>
  </si>
  <si>
    <t>n/a</t>
  </si>
  <si>
    <t>n/a</t>
  </si>
  <si>
    <t>n/a</t>
  </si>
  <si>
    <t>n/a</t>
  </si>
  <si>
    <t>n/a</t>
  </si>
  <si>
    <t>n/a</t>
  </si>
  <si>
    <t>n/a</t>
  </si>
  <si>
    <t>n/a</t>
  </si>
  <si>
    <t>18388 Redmond Fall City Rd, Redmond, WA 98052</t>
  </si>
  <si>
    <t>11/10/2020</t>
  </si>
  <si>
    <t>LUX DESIGN BUILDS</t>
  </si>
  <si>
    <t>RUSH</t>
  </si>
  <si>
    <t>n/a</t>
  </si>
  <si>
    <t>Base Only</t>
  </si>
  <si>
    <t>Double Threshold</t>
  </si>
  <si>
    <t>Neo-Angle Threshold</t>
  </si>
  <si>
    <t>*Cut &amp; Staple together to make this box.</t>
  </si>
  <si>
    <t>Box Info</t>
  </si>
  <si>
    <t>Base Only Info</t>
  </si>
  <si>
    <t>Special Length:</t>
  </si>
  <si>
    <t>Always adjust width before length when building boxes!</t>
  </si>
  <si>
    <t>Thresh Height:</t>
  </si>
  <si>
    <t>Thresh Type:</t>
  </si>
  <si>
    <t>Thresh Color:</t>
  </si>
  <si>
    <t>Thresh Color Match?</t>
  </si>
  <si>
    <t>Custom</t>
  </si>
  <si>
    <t>Ice Grey</t>
  </si>
  <si>
    <t>Adhesive:</t>
  </si>
  <si>
    <t>&lt;-- Too tall!  Pack threshold separately.</t>
  </si>
  <si>
    <t>Threshold Height:</t>
  </si>
  <si>
    <t>***Note: I have added AI logic to NOT INCLUDE THE THRESHOLD IN THE OVERALL on condition that it's too tall to fit in the box anyhow.</t>
  </si>
  <si>
    <t>Overall On Label:</t>
  </si>
  <si>
    <t>Adhesive</t>
  </si>
  <si>
    <t>Box Width w/ Thresh if possible</t>
  </si>
  <si>
    <t>Box Length w/ Thresh if possible</t>
  </si>
  <si>
    <t>Overall Length (base+thresh)</t>
  </si>
  <si>
    <t>Overall Width (base+thresh)</t>
  </si>
  <si>
    <t xml:space="preserve"> // Ideally this will be the box size unless the threshold is too tall in which case we box base only and leave the thresh for a separate box.</t>
  </si>
  <si>
    <t>Threshold Highest Leg:</t>
  </si>
  <si>
    <t xml:space="preserve"> // Only gets used by subsequent cells if Thresh Style = Custom.</t>
  </si>
  <si>
    <t>0</t>
  </si>
  <si>
    <t>THRESHOLD CALCULATION</t>
  </si>
  <si>
    <t>Will Thresh Height Fit In Box?</t>
  </si>
  <si>
    <t>OVERALL CALCULATION</t>
  </si>
  <si>
    <t>BOX CALCULATION</t>
  </si>
  <si>
    <t>Single / Base Only</t>
  </si>
  <si>
    <t>WATER DAM CALCULATION</t>
  </si>
  <si>
    <t>Box Width (no Thresh OR too tall)</t>
  </si>
  <si>
    <t>Box Length (no Thresh OR too tall)</t>
  </si>
  <si>
    <t>80x32</t>
  </si>
  <si>
    <t>Preattach Water Dams To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</si>
</sst>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\ &quot;lbs&quot;"/>
    <numFmt numFmtId="165" formatCode="m/d/yy;@"/>
  </numFmts>
  <fonts count="4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26"/>
      <color rgb="FF000000"/>
      <name val="Calibri"/>
      <family val="2"/>
    </font>
    <font>
      <b/>
      <u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8"/>
      <color theme="1" tint="0.34998626667073579"/>
      <name val="Calibri"/>
      <family val="2"/>
      <scheme val="minor"/>
    </font>
    <font>
      <b/>
      <sz val="20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i/>
      <sz val="12"/>
      <color theme="1" tint="0.14999847407452621"/>
      <name val="Calibri"/>
      <family val="2"/>
      <scheme val="minor"/>
    </font>
    <font>
      <sz val="14"/>
      <color theme="1"/>
      <name val="Arial"/>
      <family val="2"/>
    </font>
    <font>
      <i/>
      <sz val="12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4"/>
      <color theme="0" tint="-0.249977111117893"/>
      <name val="Arial"/>
      <family val="2"/>
    </font>
    <font>
      <sz val="11"/>
      <color theme="0" tint="-0.249977111117893"/>
      <name val="Calibri"/>
      <family val="2"/>
      <scheme val="minor"/>
    </font>
    <font>
      <b/>
      <sz val="28"/>
      <color rgb="FFC00000"/>
      <name val="Calibri"/>
      <family val="2"/>
      <scheme val="minor"/>
    </font>
    <font>
      <b/>
      <i/>
      <sz val="20"/>
      <color rgb="FFFF00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DashDotDot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</cellStyleXfs>
  <cellXfs count="145">
    <xf numFmtId="0" fontId="0" fillId="0" borderId="0" xfId="0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6" fillId="3" borderId="1" xfId="2" applyFont="1"/>
    <xf numFmtId="0" fontId="0" fillId="0" borderId="0" xfId="0" applyAlignment="1">
      <alignment horizontal="right"/>
    </xf>
    <xf numFmtId="0" fontId="4" fillId="0" borderId="0" xfId="0" applyFont="1"/>
    <xf numFmtId="0" fontId="3" fillId="4" borderId="1" xfId="3"/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7" fillId="0" borderId="0" xfId="0" applyFont="1"/>
    <xf numFmtId="0" fontId="8" fillId="0" borderId="0" xfId="0" applyFont="1" applyFill="1" applyBorder="1" applyAlignment="1">
      <alignment horizontal="right"/>
    </xf>
    <xf numFmtId="0" fontId="9" fillId="0" borderId="0" xfId="0" applyFont="1"/>
    <xf numFmtId="0" fontId="0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3" fillId="4" borderId="1" xfId="3" applyFont="1"/>
    <xf numFmtId="0" fontId="1" fillId="2" borderId="0" xfId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0" borderId="0" xfId="0" applyAlignment="1"/>
    <xf numFmtId="0" fontId="13" fillId="0" borderId="0" xfId="0" applyFont="1" applyAlignment="1">
      <alignment horizontal="center" vertical="center"/>
    </xf>
    <xf numFmtId="0" fontId="10" fillId="0" borderId="0" xfId="0" applyFont="1" applyAlignment="1"/>
    <xf numFmtId="0" fontId="10" fillId="0" borderId="0" xfId="0" applyFont="1" applyBorder="1" applyAlignment="1"/>
    <xf numFmtId="164" fontId="14" fillId="0" borderId="2" xfId="0" applyNumberFormat="1" applyFont="1" applyBorder="1" applyAlignment="1">
      <alignment horizontal="center"/>
    </xf>
    <xf numFmtId="0" fontId="8" fillId="0" borderId="2" xfId="0" applyFont="1" applyBorder="1" applyAlignment="1"/>
    <xf numFmtId="0" fontId="0" fillId="0" borderId="0" xfId="0" quotePrefix="1"/>
    <xf numFmtId="0" fontId="0" fillId="0" borderId="2" xfId="0" applyBorder="1"/>
    <xf numFmtId="0" fontId="0" fillId="0" borderId="0" xfId="0" applyFill="1"/>
    <xf numFmtId="0" fontId="4" fillId="0" borderId="0" xfId="0" applyFont="1" applyFill="1"/>
    <xf numFmtId="0" fontId="8" fillId="0" borderId="0" xfId="0" applyFont="1"/>
    <xf numFmtId="0" fontId="8" fillId="0" borderId="3" xfId="0" applyFont="1" applyBorder="1"/>
    <xf numFmtId="0" fontId="4" fillId="0" borderId="0" xfId="0" applyFont="1" applyBorder="1"/>
    <xf numFmtId="0" fontId="15" fillId="5" borderId="0" xfId="0" applyFont="1" applyFill="1"/>
    <xf numFmtId="0" fontId="16" fillId="0" borderId="0" xfId="0" applyFont="1"/>
    <xf numFmtId="0" fontId="0" fillId="0" borderId="4" xfId="0" applyBorder="1"/>
    <xf numFmtId="0" fontId="13" fillId="0" borderId="2" xfId="0" applyFont="1" applyBorder="1" applyAlignment="1"/>
    <xf numFmtId="0" fontId="20" fillId="0" borderId="2" xfId="0" applyFont="1" applyBorder="1" applyAlignment="1"/>
    <xf numFmtId="0" fontId="21" fillId="0" borderId="0" xfId="0" applyFont="1" applyBorder="1" applyAlignment="1"/>
    <xf numFmtId="0" fontId="0" fillId="0" borderId="3" xfId="0" applyBorder="1"/>
    <xf numFmtId="0" fontId="16" fillId="0" borderId="3" xfId="0" applyFont="1" applyBorder="1"/>
    <xf numFmtId="0" fontId="8" fillId="0" borderId="0" xfId="0" applyFont="1" applyBorder="1"/>
    <xf numFmtId="0" fontId="0" fillId="0" borderId="0" xfId="0" applyBorder="1"/>
    <xf numFmtId="0" fontId="4" fillId="0" borderId="3" xfId="0" applyFont="1" applyBorder="1"/>
    <xf numFmtId="0" fontId="22" fillId="0" borderId="3" xfId="0" applyFont="1" applyBorder="1"/>
    <xf numFmtId="0" fontId="22" fillId="0" borderId="0" xfId="0" applyFont="1"/>
    <xf numFmtId="0" fontId="0" fillId="7" borderId="0" xfId="0" applyFill="1"/>
    <xf numFmtId="0" fontId="4" fillId="7" borderId="3" xfId="0" applyFont="1" applyFill="1" applyBorder="1"/>
    <xf numFmtId="0" fontId="0" fillId="7" borderId="3" xfId="0" applyFill="1" applyBorder="1"/>
    <xf numFmtId="0" fontId="4" fillId="7" borderId="0" xfId="0" applyFont="1" applyFill="1"/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0" fontId="28" fillId="0" borderId="0" xfId="0" applyFont="1" applyAlignment="1">
      <alignment horizontal="left"/>
    </xf>
    <xf numFmtId="0" fontId="29" fillId="0" borderId="0" xfId="0" applyFont="1"/>
    <xf numFmtId="49" fontId="7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/>
    <xf numFmtId="0" fontId="33" fillId="0" borderId="3" xfId="0" applyFont="1" applyBorder="1" applyAlignment="1">
      <alignment horizontal="right"/>
    </xf>
    <xf numFmtId="49" fontId="33" fillId="0" borderId="0" xfId="0" applyNumberFormat="1" applyFont="1" applyAlignment="1">
      <alignment horizontal="right"/>
    </xf>
    <xf numFmtId="0" fontId="35" fillId="0" borderId="0" xfId="0" applyFont="1"/>
    <xf numFmtId="0" fontId="33" fillId="0" borderId="0" xfId="0" applyFont="1" applyBorder="1" applyAlignment="1">
      <alignment horizontal="right"/>
    </xf>
    <xf numFmtId="49" fontId="8" fillId="0" borderId="0" xfId="0" applyNumberFormat="1" applyFont="1"/>
    <xf numFmtId="49" fontId="16" fillId="0" borderId="0" xfId="0" applyNumberFormat="1" applyFont="1"/>
    <xf numFmtId="49" fontId="0" fillId="0" borderId="0" xfId="0" applyNumberFormat="1"/>
    <xf numFmtId="0" fontId="4" fillId="0" borderId="0" xfId="0" applyFont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37" fillId="0" borderId="0" xfId="0" applyFont="1" applyAlignment="1">
      <alignment horizontal="left"/>
    </xf>
    <xf numFmtId="0" fontId="0" fillId="0" borderId="5" xfId="0" applyBorder="1"/>
    <xf numFmtId="0" fontId="0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9" fillId="0" borderId="0" xfId="0" applyFont="1" applyBorder="1" applyAlignment="1">
      <alignment vertical="center" wrapText="1"/>
    </xf>
    <xf numFmtId="0" fontId="36" fillId="0" borderId="0" xfId="0" applyFont="1" applyAlignment="1">
      <alignment vertical="center"/>
    </xf>
    <xf numFmtId="0" fontId="39" fillId="0" borderId="0" xfId="0" applyNumberFormat="1" applyFont="1" applyBorder="1" applyAlignment="1">
      <alignment vertical="center" wrapText="1"/>
    </xf>
    <xf numFmtId="0" fontId="38" fillId="0" borderId="0" xfId="0" applyFont="1" applyBorder="1" applyAlignment="1">
      <alignment vertical="center" wrapText="1"/>
    </xf>
    <xf numFmtId="0" fontId="12" fillId="0" borderId="0" xfId="0" applyFont="1" applyBorder="1" applyAlignment="1">
      <alignment wrapText="1"/>
    </xf>
    <xf numFmtId="0" fontId="40" fillId="0" borderId="0" xfId="0" applyFont="1" applyBorder="1" applyAlignment="1">
      <alignment vertical="top"/>
    </xf>
    <xf numFmtId="0" fontId="24" fillId="0" borderId="5" xfId="0" applyFont="1" applyBorder="1" applyAlignment="1">
      <alignment vertical="center"/>
    </xf>
    <xf numFmtId="0" fontId="43" fillId="0" borderId="5" xfId="0" applyFont="1" applyBorder="1" applyAlignment="1">
      <alignment horizontal="left"/>
    </xf>
    <xf numFmtId="0" fontId="8" fillId="0" borderId="5" xfId="0" applyFont="1" applyFill="1" applyBorder="1" applyAlignment="1">
      <alignment horizontal="center"/>
    </xf>
    <xf numFmtId="0" fontId="0" fillId="0" borderId="3" xfId="0" applyBorder="1" applyAlignment="1"/>
    <xf numFmtId="0" fontId="0" fillId="0" borderId="6" xfId="0" applyBorder="1"/>
    <xf numFmtId="0" fontId="0" fillId="0" borderId="7" xfId="0" applyBorder="1"/>
    <xf numFmtId="0" fontId="4" fillId="8" borderId="8" xfId="0" applyFont="1" applyFill="1" applyBorder="1"/>
    <xf numFmtId="0" fontId="4" fillId="8" borderId="9" xfId="0" applyFont="1" applyFill="1" applyBorder="1"/>
    <xf numFmtId="0" fontId="0" fillId="8" borderId="10" xfId="0" applyFill="1" applyBorder="1"/>
    <xf numFmtId="0" fontId="4" fillId="8" borderId="9" xfId="0" applyFont="1" applyFill="1" applyBorder="1" applyAlignment="1"/>
    <xf numFmtId="0" fontId="11" fillId="8" borderId="9" xfId="0" applyFont="1" applyFill="1" applyBorder="1"/>
    <xf numFmtId="0" fontId="0" fillId="8" borderId="9" xfId="0" applyFill="1" applyBorder="1"/>
    <xf numFmtId="0" fontId="4" fillId="8" borderId="11" xfId="0" applyFont="1" applyFill="1" applyBorder="1" applyAlignment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16" fillId="0" borderId="0" xfId="0" applyFont="1" applyBorder="1"/>
    <xf numFmtId="0" fontId="43" fillId="0" borderId="0" xfId="0" applyFont="1" applyBorder="1" applyAlignment="1">
      <alignment vertical="center" wrapText="1"/>
    </xf>
    <xf numFmtId="0" fontId="0" fillId="0" borderId="0" xfId="0" applyFill="1" applyAlignment="1"/>
    <xf numFmtId="0" fontId="0" fillId="0" borderId="0" xfId="0" applyBorder="1" applyAlignment="1"/>
    <xf numFmtId="0" fontId="0" fillId="0" borderId="12" xfId="0" applyBorder="1"/>
    <xf numFmtId="0" fontId="4" fillId="0" borderId="3" xfId="0" applyFont="1" applyBorder="1" applyAlignment="1">
      <alignment horizontal="left"/>
    </xf>
    <xf numFmtId="0" fontId="24" fillId="0" borderId="0" xfId="0" applyFont="1" applyBorder="1" applyAlignment="1">
      <alignment vertical="center"/>
    </xf>
    <xf numFmtId="0" fontId="45" fillId="0" borderId="0" xfId="0" applyFont="1"/>
    <xf numFmtId="0" fontId="4" fillId="0" borderId="13" xfId="0" applyFont="1" applyBorder="1"/>
    <xf numFmtId="0" fontId="4" fillId="0" borderId="14" xfId="0" applyFont="1" applyBorder="1"/>
    <xf numFmtId="0" fontId="0" fillId="0" borderId="14" xfId="0" applyBorder="1" applyAlignment="1">
      <alignment horizontal="left"/>
    </xf>
    <xf numFmtId="0" fontId="0" fillId="0" borderId="15" xfId="0" applyBorder="1"/>
    <xf numFmtId="0" fontId="4" fillId="0" borderId="16" xfId="0" applyFont="1" applyBorder="1"/>
    <xf numFmtId="0" fontId="0" fillId="0" borderId="17" xfId="0" applyBorder="1"/>
    <xf numFmtId="0" fontId="4" fillId="0" borderId="16" xfId="0" applyFont="1" applyFill="1" applyBorder="1"/>
    <xf numFmtId="0" fontId="4" fillId="0" borderId="18" xfId="0" applyFont="1" applyFill="1" applyBorder="1"/>
    <xf numFmtId="0" fontId="0" fillId="0" borderId="19" xfId="0" applyBorder="1"/>
    <xf numFmtId="0" fontId="16" fillId="0" borderId="17" xfId="0" applyFont="1" applyBorder="1"/>
    <xf numFmtId="0" fontId="4" fillId="0" borderId="20" xfId="0" applyFont="1" applyFill="1" applyBorder="1"/>
    <xf numFmtId="0" fontId="0" fillId="0" borderId="21" xfId="0" applyBorder="1"/>
    <xf numFmtId="0" fontId="0" fillId="0" borderId="22" xfId="0" applyBorder="1"/>
    <xf numFmtId="0" fontId="41" fillId="0" borderId="17" xfId="0" applyFont="1" applyBorder="1"/>
    <xf numFmtId="0" fontId="0" fillId="0" borderId="17" xfId="0" applyBorder="1" applyAlignment="1">
      <alignment horizontal="left"/>
    </xf>
    <xf numFmtId="0" fontId="4" fillId="0" borderId="20" xfId="0" applyFont="1" applyBorder="1"/>
    <xf numFmtId="0" fontId="4" fillId="0" borderId="21" xfId="0" applyFont="1" applyBorder="1"/>
    <xf numFmtId="0" fontId="0" fillId="0" borderId="22" xfId="0" applyBorder="1" applyAlignment="1">
      <alignment horizontal="left"/>
    </xf>
    <xf numFmtId="0" fontId="4" fillId="7" borderId="0" xfId="0" applyFont="1" applyFill="1" applyBorder="1"/>
    <xf numFmtId="0" fontId="0" fillId="7" borderId="0" xfId="0" applyFill="1" applyBorder="1"/>
    <xf numFmtId="0" fontId="0" fillId="7" borderId="0" xfId="0" applyNumberFormat="1" applyFill="1" applyBorder="1"/>
    <xf numFmtId="0" fontId="0" fillId="7" borderId="3" xfId="0" applyNumberFormat="1" applyFill="1" applyBorder="1"/>
    <xf numFmtId="0" fontId="44" fillId="0" borderId="0" xfId="0" applyFont="1" applyBorder="1" applyAlignment="1">
      <alignment horizontal="left"/>
    </xf>
    <xf numFmtId="0" fontId="41" fillId="0" borderId="0" xfId="0" applyFont="1" applyBorder="1" applyAlignment="1">
      <alignment vertical="center"/>
    </xf>
    <xf numFmtId="0" fontId="46" fillId="5" borderId="8" xfId="0" applyFont="1" applyFill="1" applyBorder="1"/>
    <xf numFmtId="0" fontId="47" fillId="5" borderId="9" xfId="0" applyFont="1" applyFill="1" applyBorder="1"/>
    <xf numFmtId="0" fontId="47" fillId="5" borderId="23" xfId="0" applyFont="1" applyFill="1" applyBorder="1"/>
    <xf numFmtId="0" fontId="31" fillId="0" borderId="0" xfId="0" applyFont="1" applyAlignment="1">
      <alignment horizontal="center"/>
    </xf>
    <xf numFmtId="165" fontId="19" fillId="0" borderId="2" xfId="0" applyNumberFormat="1" applyFont="1" applyBorder="1" applyAlignment="1">
      <alignment horizontal="left"/>
    </xf>
    <xf numFmtId="0" fontId="23" fillId="0" borderId="0" xfId="0" applyFont="1" applyAlignment="1">
      <alignment horizontal="center"/>
    </xf>
    <xf numFmtId="0" fontId="30" fillId="0" borderId="0" xfId="0" applyFont="1" applyAlignment="1">
      <alignment horizontal="left" vertical="center" wrapText="1"/>
    </xf>
    <xf numFmtId="0" fontId="42" fillId="0" borderId="0" xfId="0" applyFont="1" applyAlignment="1">
      <alignment horizontal="left"/>
    </xf>
    <xf numFmtId="0" fontId="12" fillId="6" borderId="0" xfId="0" applyFont="1" applyFill="1" applyAlignment="1">
      <alignment horizontal="center"/>
    </xf>
  </cellXfs>
  <cellStyles count="4">
    <cellStyle name="Calculation" xfId="3" builtinId="22"/>
    <cellStyle name="Good" xfId="1" builtinId="26"/>
    <cellStyle name="Input" xfId="2" builtinId="20"/>
    <cellStyle name="Normal" xfId="0" builtinId="0"/>
  </cellStyles>
  <dxfs count="13">
    <dxf>
      <fill>
        <patternFill>
          <bgColor rgb="FFFFFF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color rgb="FF92D050"/>
      </font>
    </dxf>
  </dxfs>
  <tableStyles count="0" defaultTableStyle="TableStyleMedium2" defaultPivotStyle="PivotStyleMedium9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3.xml.rels><?xml version="1.0" encoding="UTF-8" standalone="yes"?>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4.xml.rels><?xml version="1.0" encoding="UTF-8" standalone="yes"?>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5.xml.rels><?xml version="1.0" encoding="UTF-8" standalone="yes"?>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7.xml.rels><?xml version="1.0" encoding="UTF-8" standalone="yes"?>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8.xml.rels><?xml version="1.0" encoding="UTF-8" standalone="yes"?>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image" Target="../media/image12.jpg"/><Relationship Id="rId1" Type="http://schemas.openxmlformats.org/officeDocument/2006/relationships/image" Target="../media/image11.jpg"/><Relationship Id="rId4" Type="http://schemas.openxmlformats.org/officeDocument/2006/relationships/image" Target="../media/image14.jpg"/></Relationships>
</file>

<file path=xl/drawings/_rels/drawing9.xml.rels><?xml version="1.0" encoding="UTF-8" standalone="yes"?>
<Relationships xmlns="http://schemas.openxmlformats.org/package/2006/relationships"><Relationship Id="rId3" Type="http://schemas.openxmlformats.org/officeDocument/2006/relationships/image" Target="../media/image17.jpg"/><Relationship Id="rId2" Type="http://schemas.openxmlformats.org/officeDocument/2006/relationships/image" Target="../media/image16.jpg"/><Relationship Id="rId1" Type="http://schemas.openxmlformats.org/officeDocument/2006/relationships/image" Target="../media/image15.jpg"/><Relationship Id="rId4" Type="http://schemas.openxmlformats.org/officeDocument/2006/relationships/image" Target="../media/image18.jpg"/></Relationships>
</file>

<file path=xl/drawings/_rels/vmlDrawing1.vml.rels><?xml version="1.0" encoding="UTF-8" standalone="yes"?>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706960</xdr:colOff>
      <xdr:row>21</xdr:row>
      <xdr:rowOff>187801</xdr:rowOff>
    </xdr:from>
    <xdr:to>
      <xdr:col>9</xdr:col>
      <xdr:colOff>587897</xdr:colOff>
      <xdr:row>29</xdr:row>
      <xdr:rowOff>101111</xdr:rowOff>
    </xdr:to>
    <xdr:sp macro="" textlink="">
      <xdr:nvSpPr>
        <xdr:cNvPr id="11" name="SBRectangl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2285" y="5255101"/>
          <a:ext cx="3810000" cy="144683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alpha val="93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496348</xdr:colOff>
      <xdr:row>20</xdr:row>
      <xdr:rowOff>14763</xdr:rowOff>
    </xdr:from>
    <xdr:to>
      <xdr:col>6</xdr:col>
      <xdr:colOff>574673</xdr:colOff>
      <xdr:row>21</xdr:row>
      <xdr:rowOff>162401</xdr:rowOff>
    </xdr:to>
    <xdr:sp macro="" textlink="DimensionA_Expanded">
      <xdr:nvSpPr>
        <xdr:cNvPr id="3" name="TextBox_Dim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58498" y="4772501"/>
          <a:ext cx="169757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AE66A55-3EDF-4326-893E-95DAC121FCBA}" type="TxLink">
            <a:rPr lang="en-US" sz="4000" b="1" i="1" u="none" strike="noStrike">
              <a:solidFill>
                <a:srgbClr val="00FF00"/>
              </a:solidFill>
              <a:latin typeface="Calibri"/>
              <a:ea typeface="+mn-ea"/>
              <a:cs typeface="Calibri"/>
            </a:rPr>
            <a:pPr marL="0" indent="0" algn="ctr"/>
            <a:t>79</a:t>
          </a:fld>
          <a:endParaRPr lang="en-US" sz="4000" b="1" i="1" u="none" strike="noStrike">
            <a:solidFill>
              <a:srgbClr val="00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584141</xdr:colOff>
      <xdr:row>24</xdr:row>
      <xdr:rowOff>144404</xdr:rowOff>
    </xdr:from>
    <xdr:to>
      <xdr:col>5</xdr:col>
      <xdr:colOff>925030</xdr:colOff>
      <xdr:row>26</xdr:row>
      <xdr:rowOff>154034</xdr:rowOff>
    </xdr:to>
    <xdr:sp macro="" textlink="">
      <xdr:nvSpPr>
        <xdr:cNvPr id="4" name="SBDrai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36841" y="5792729"/>
          <a:ext cx="340889" cy="371580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905398</xdr:colOff>
      <xdr:row>20</xdr:row>
      <xdr:rowOff>274834</xdr:rowOff>
    </xdr:from>
    <xdr:to>
      <xdr:col>10</xdr:col>
      <xdr:colOff>398984</xdr:colOff>
      <xdr:row>30</xdr:row>
      <xdr:rowOff>142665</xdr:rowOff>
    </xdr:to>
    <xdr:sp macro="" textlink="DimensionB_Expanded">
      <xdr:nvSpPr>
        <xdr:cNvPr id="5" name="TextBox_DimB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 rot="5400000">
          <a:off x="4790213" y="5772145"/>
          <a:ext cx="1891893" cy="4127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25E4483-FB6E-4345-8EF2-B37A2A21385C}" type="TxLink">
            <a:rPr lang="en-US" sz="4000" b="1" i="1" u="none" strike="noStrike">
              <a:solidFill>
                <a:srgbClr val="00FF00"/>
              </a:solidFill>
              <a:latin typeface="Calibri"/>
              <a:ea typeface="+mn-ea"/>
              <a:cs typeface="Calibri"/>
            </a:rPr>
            <a:pPr marL="0" indent="0" algn="ctr"/>
            <a:t>30</a:t>
          </a:fld>
          <a:endParaRPr lang="en-US" sz="4000" b="1" i="1" u="none" strike="noStrike">
            <a:solidFill>
              <a:srgbClr val="00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227585</xdr:colOff>
      <xdr:row>22</xdr:row>
      <xdr:rowOff>131708</xdr:rowOff>
    </xdr:from>
    <xdr:to>
      <xdr:col>5</xdr:col>
      <xdr:colOff>754586</xdr:colOff>
      <xdr:row>23</xdr:row>
      <xdr:rowOff>169318</xdr:rowOff>
    </xdr:to>
    <xdr:sp macro="" textlink="DimensionD_Expanded">
      <xdr:nvSpPr>
        <xdr:cNvPr id="6" name="TextBox_Dim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189735" y="5389508"/>
          <a:ext cx="1117551" cy="2281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91440" rtlCol="0" anchor="ctr"/>
        <a:lstStyle/>
        <a:p>
          <a:pPr marL="0" indent="0" algn="r"/>
          <a:fld id="{FD48780C-A31A-4A7C-944F-951572024F45}" type="TxLink">
            <a:rPr lang="en-US" sz="2200" b="1" i="1" u="none" strike="noStrike">
              <a:solidFill>
                <a:srgbClr val="00FF00"/>
              </a:solidFill>
              <a:latin typeface="Calibri"/>
              <a:ea typeface="+mn-ea"/>
              <a:cs typeface="Calibri"/>
            </a:rPr>
            <a:pPr marL="0" indent="0" algn="r"/>
            <a:t>15</a:t>
          </a:fld>
          <a:endParaRPr lang="en-US" sz="2200" b="1" i="1" u="none" strike="noStrike">
            <a:solidFill>
              <a:srgbClr val="00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329969</xdr:colOff>
      <xdr:row>25</xdr:row>
      <xdr:rowOff>149219</xdr:rowOff>
    </xdr:from>
    <xdr:to>
      <xdr:col>9</xdr:col>
      <xdr:colOff>116469</xdr:colOff>
      <xdr:row>27</xdr:row>
      <xdr:rowOff>98625</xdr:rowOff>
    </xdr:to>
    <xdr:sp macro="" textlink="DimensionC_Expanded">
      <xdr:nvSpPr>
        <xdr:cNvPr id="7" name="TextBox_DimC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911369" y="5978519"/>
          <a:ext cx="829488" cy="3113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91440" rtlCol="0" anchor="ctr"/>
        <a:lstStyle/>
        <a:p>
          <a:pPr marL="0" indent="0" algn="l"/>
          <a:fld id="{39CF0E42-1023-457F-903F-D3F4EB62A9B7}" type="TxLink">
            <a:rPr lang="en-US" sz="2200" b="1" i="1" u="none" strike="noStrike">
              <a:solidFill>
                <a:srgbClr val="00FF00"/>
              </a:solidFill>
              <a:latin typeface="Calibri"/>
              <a:ea typeface="+mn-ea"/>
              <a:cs typeface="Calibri"/>
            </a:rPr>
            <a:pPr marL="0" indent="0" algn="l"/>
            <a:t>39.5</a:t>
          </a:fld>
          <a:endParaRPr lang="en-US" sz="2200" b="1" i="1" u="none" strike="noStrike">
            <a:solidFill>
              <a:srgbClr val="00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754586</xdr:colOff>
      <xdr:row>21</xdr:row>
      <xdr:rowOff>187801</xdr:rowOff>
    </xdr:from>
    <xdr:to>
      <xdr:col>5</xdr:col>
      <xdr:colOff>754587</xdr:colOff>
      <xdr:row>24</xdr:row>
      <xdr:rowOff>144404</xdr:rowOff>
    </xdr:to>
    <xdr:cxnSp macro="">
      <xdr:nvCxnSpPr>
        <xdr:cNvPr id="8" name="SBVerticalLin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3307286" y="5255101"/>
          <a:ext cx="1" cy="537628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228600</xdr:colOff>
      <xdr:row>39</xdr:row>
      <xdr:rowOff>0</xdr:rowOff>
    </xdr:from>
    <xdr:to>
      <xdr:col>11</xdr:col>
      <xdr:colOff>228600</xdr:colOff>
      <xdr:row>39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4638675" y="5753100"/>
          <a:ext cx="0" cy="0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925030</xdr:colOff>
      <xdr:row>25</xdr:row>
      <xdr:rowOff>149219</xdr:rowOff>
    </xdr:from>
    <xdr:to>
      <xdr:col>9</xdr:col>
      <xdr:colOff>587897</xdr:colOff>
      <xdr:row>25</xdr:row>
      <xdr:rowOff>149219</xdr:rowOff>
    </xdr:to>
    <xdr:cxnSp macro="">
      <xdr:nvCxnSpPr>
        <xdr:cNvPr id="10" name="SBHorizontalLin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3477730" y="5978519"/>
          <a:ext cx="1734555" cy="0"/>
        </a:xfrm>
        <a:prstGeom prst="line">
          <a:avLst/>
        </a:prstGeom>
        <a:ln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10</xdr:row>
          <xdr:rowOff>9525</xdr:rowOff>
        </xdr:from>
        <xdr:to>
          <xdr:col>16</xdr:col>
          <xdr:colOff>704850</xdr:colOff>
          <xdr:row>17</xdr:row>
          <xdr:rowOff>38100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Shower Base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78843</xdr:colOff>
          <xdr:row>0</xdr:row>
          <xdr:rowOff>171450</xdr:rowOff>
        </xdr:from>
        <xdr:to>
          <xdr:col>2</xdr:col>
          <xdr:colOff>563031</xdr:colOff>
          <xdr:row>4</xdr:row>
          <xdr:rowOff>59043</xdr:rowOff>
        </xdr:to>
        <xdr:pic>
          <xdr:nvPicPr>
            <xdr:cNvPr id="18" name="Label_Diagram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iagramLookup" spid="_x0000_s1133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40756" y="171450"/>
              <a:ext cx="1117600" cy="112584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17</xdr:row>
          <xdr:rowOff>142875</xdr:rowOff>
        </xdr:from>
        <xdr:to>
          <xdr:col>15</xdr:col>
          <xdr:colOff>971550</xdr:colOff>
          <xdr:row>22</xdr:row>
          <xdr:rowOff>133350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 Pictures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252412</xdr:colOff>
          <xdr:row>18</xdr:row>
          <xdr:rowOff>85726</xdr:rowOff>
        </xdr:from>
        <xdr:to>
          <xdr:col>11</xdr:col>
          <xdr:colOff>1116012</xdr:colOff>
          <xdr:row>22</xdr:row>
          <xdr:rowOff>130290</xdr:rowOff>
        </xdr:to>
        <xdr:pic>
          <xdr:nvPicPr>
            <xdr:cNvPr id="1606" name="Body_Color">
              <a:extLs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lorLookup" spid="_x0000_s1133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10350" y="4462464"/>
              <a:ext cx="863600" cy="925626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690558</xdr:colOff>
          <xdr:row>0</xdr:row>
          <xdr:rowOff>180973</xdr:rowOff>
        </xdr:from>
        <xdr:to>
          <xdr:col>3</xdr:col>
          <xdr:colOff>414333</xdr:colOff>
          <xdr:row>3</xdr:row>
          <xdr:rowOff>238383</xdr:rowOff>
        </xdr:to>
        <xdr:pic>
          <xdr:nvPicPr>
            <xdr:cNvPr id="19" name="Label_Color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lorLookup" spid="_x0000_s113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85883" y="180973"/>
              <a:ext cx="990600" cy="10289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538662</xdr:colOff>
      <xdr:row>22</xdr:row>
      <xdr:rowOff>48128</xdr:rowOff>
    </xdr:from>
    <xdr:to>
      <xdr:col>2</xdr:col>
      <xdr:colOff>152399</xdr:colOff>
      <xdr:row>28</xdr:row>
      <xdr:rowOff>146503</xdr:rowOff>
    </xdr:to>
    <xdr:sp macro="" textlink="$L$16">
      <xdr:nvSpPr>
        <xdr:cNvPr id="16" name="TextBox_DimD_FinalCu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 rot="5400000">
          <a:off x="117750" y="5788753"/>
          <a:ext cx="1212800" cy="247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1997C0C-99AB-4576-ADFF-911AB0DBB558}" type="TxLink">
            <a:rPr lang="en-US" sz="1800" b="1" i="0" u="none" strike="noStrike">
              <a:solidFill>
                <a:srgbClr val="FF0000"/>
              </a:solidFill>
              <a:latin typeface="Calibri"/>
              <a:ea typeface="+mn-ea"/>
              <a:cs typeface="Calibri"/>
            </a:rPr>
            <a:pPr marL="0" indent="0" algn="l"/>
            <a:t>D: 14"</a:t>
          </a:fld>
          <a:endParaRPr lang="en-US" sz="1800" b="1" i="0" u="none" strike="noStrike">
            <a:solidFill>
              <a:srgbClr val="FF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19922</xdr:colOff>
      <xdr:row>30</xdr:row>
      <xdr:rowOff>47136</xdr:rowOff>
    </xdr:from>
    <xdr:to>
      <xdr:col>9</xdr:col>
      <xdr:colOff>587897</xdr:colOff>
      <xdr:row>31</xdr:row>
      <xdr:rowOff>70473</xdr:rowOff>
    </xdr:to>
    <xdr:sp macro="" textlink="$L$15">
      <xdr:nvSpPr>
        <xdr:cNvPr id="17" name="TextBox_DimC_FinalCut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3601322" y="6828936"/>
          <a:ext cx="1610963" cy="204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42F8AF67-5ECD-4AA5-AED0-991290E5B069}" type="TxLink">
            <a:rPr lang="en-US" sz="1800" b="1" i="0" u="none" strike="noStrike">
              <a:solidFill>
                <a:srgbClr val="FF0000"/>
              </a:solidFill>
              <a:latin typeface="Calibri"/>
              <a:ea typeface="+mn-ea"/>
              <a:cs typeface="Calibri"/>
            </a:rPr>
            <a:pPr marL="0" indent="0" algn="r"/>
            <a:t>C: 38"</a:t>
          </a:fld>
          <a:endParaRPr lang="en-US" sz="1800" b="1" i="0" u="none" strike="noStrike">
            <a:solidFill>
              <a:srgbClr val="FF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991472</xdr:colOff>
      <xdr:row>32</xdr:row>
      <xdr:rowOff>16498</xdr:rowOff>
    </xdr:from>
    <xdr:to>
      <xdr:col>9</xdr:col>
      <xdr:colOff>587897</xdr:colOff>
      <xdr:row>33</xdr:row>
      <xdr:rowOff>99782</xdr:rowOff>
    </xdr:to>
    <xdr:sp macro="" textlink="$L$13">
      <xdr:nvSpPr>
        <xdr:cNvPr id="20" name="TextBox_DimA_FinalCut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3544172" y="7160248"/>
          <a:ext cx="1668113" cy="264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750BEE45-143F-4B75-8538-D09D2DE2D5A2}" type="TxLink">
            <a:rPr lang="en-US" sz="2400" b="1" i="0" u="none" strike="noStrike">
              <a:solidFill>
                <a:srgbClr val="FF0000"/>
              </a:solidFill>
              <a:latin typeface="Calibri"/>
              <a:ea typeface="+mn-ea"/>
              <a:cs typeface="Calibri"/>
            </a:rPr>
            <a:pPr marL="0" indent="0" algn="r"/>
            <a:t>A: 76"</a:t>
          </a:fld>
          <a:endParaRPr lang="en-US" sz="34400" b="1" i="0" u="none" strike="noStrike">
            <a:solidFill>
              <a:srgbClr val="FF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98565</xdr:colOff>
      <xdr:row>22</xdr:row>
      <xdr:rowOff>12367</xdr:rowOff>
    </xdr:from>
    <xdr:to>
      <xdr:col>1</xdr:col>
      <xdr:colOff>419105</xdr:colOff>
      <xdr:row>30</xdr:row>
      <xdr:rowOff>133353</xdr:rowOff>
    </xdr:to>
    <xdr:sp macro="" textlink="$L$14">
      <xdr:nvSpPr>
        <xdr:cNvPr id="21" name="TextBox_DimB_FinalCu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 rot="5400000">
          <a:off x="-501745" y="5932390"/>
          <a:ext cx="1644986" cy="32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3D1220B7-6986-49E9-A754-77517781F55B}" type="TxLink">
            <a:rPr lang="en-US" sz="2400" b="1" i="0" u="none" strike="noStrike">
              <a:solidFill>
                <a:srgbClr val="FF0000"/>
              </a:solidFill>
              <a:latin typeface="Calibri"/>
              <a:ea typeface="+mn-ea"/>
              <a:cs typeface="Calibri"/>
            </a:rPr>
            <a:pPr marL="0" indent="0" algn="l"/>
            <a:t>B: 28"</a:t>
          </a:fld>
          <a:endParaRPr lang="en-US" sz="2400" b="1" i="0" u="none" strike="noStrike">
            <a:solidFill>
              <a:srgbClr val="FF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7</xdr:col>
      <xdr:colOff>44972</xdr:colOff>
      <xdr:row>29</xdr:row>
      <xdr:rowOff>164611</xdr:rowOff>
    </xdr:from>
    <xdr:to>
      <xdr:col>9</xdr:col>
      <xdr:colOff>587897</xdr:colOff>
      <xdr:row>29</xdr:row>
      <xdr:rowOff>164611</xdr:rowOff>
    </xdr:to>
    <xdr:cxnSp macro="">
      <xdr:nvCxnSpPr>
        <xdr:cNvPr id="12" name="RightArrow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4455047" y="6765436"/>
          <a:ext cx="757238" cy="0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435497</xdr:colOff>
      <xdr:row>31</xdr:row>
      <xdr:rowOff>133973</xdr:rowOff>
    </xdr:from>
    <xdr:to>
      <xdr:col>9</xdr:col>
      <xdr:colOff>587897</xdr:colOff>
      <xdr:row>31</xdr:row>
      <xdr:rowOff>133973</xdr:rowOff>
    </xdr:to>
    <xdr:cxnSp macro="">
      <xdr:nvCxnSpPr>
        <xdr:cNvPr id="23" name="RightArrow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4016897" y="7096748"/>
          <a:ext cx="1195388" cy="0"/>
        </a:xfrm>
        <a:prstGeom prst="straightConnector1">
          <a:avLst/>
        </a:prstGeom>
        <a:ln w="28575" cap="flat" cmpd="sng" algn="ctr">
          <a:solidFill>
            <a:srgbClr val="FF0000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484712</xdr:colOff>
      <xdr:row>22</xdr:row>
      <xdr:rowOff>19052</xdr:rowOff>
    </xdr:from>
    <xdr:to>
      <xdr:col>1</xdr:col>
      <xdr:colOff>484712</xdr:colOff>
      <xdr:row>28</xdr:row>
      <xdr:rowOff>66676</xdr:rowOff>
    </xdr:to>
    <xdr:cxnSp macro="">
      <xdr:nvCxnSpPr>
        <xdr:cNvPr id="31" name="TopArrow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546625" y="5276852"/>
          <a:ext cx="0" cy="1162049"/>
        </a:xfrm>
        <a:prstGeom prst="straightConnector1">
          <a:avLst/>
        </a:prstGeom>
        <a:ln w="28575" cap="flat" cmpd="sng" algn="ctr">
          <a:solidFill>
            <a:srgbClr val="FF0000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229119</xdr:colOff>
      <xdr:row>22</xdr:row>
      <xdr:rowOff>21116</xdr:rowOff>
    </xdr:from>
    <xdr:to>
      <xdr:col>2</xdr:col>
      <xdr:colOff>229119</xdr:colOff>
      <xdr:row>26</xdr:row>
      <xdr:rowOff>30640</xdr:rowOff>
    </xdr:to>
    <xdr:cxnSp macro="">
      <xdr:nvCxnSpPr>
        <xdr:cNvPr id="33" name="TopArrow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V="1">
          <a:off x="924444" y="5278916"/>
          <a:ext cx="0" cy="761999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523207</xdr:colOff>
      <xdr:row>36</xdr:row>
      <xdr:rowOff>238124</xdr:rowOff>
    </xdr:from>
    <xdr:to>
      <xdr:col>8</xdr:col>
      <xdr:colOff>353942</xdr:colOff>
      <xdr:row>46</xdr:row>
      <xdr:rowOff>438189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90632" y="7658099"/>
          <a:ext cx="1773835" cy="2462253"/>
        </a:xfrm>
        <a:prstGeom prst="rect">
          <a:avLst/>
        </a:prstGeom>
      </xdr:spPr>
    </xdr:pic>
    <xdr:clientData/>
  </xdr:twoCellAnchor>
  <xdr:twoCellAnchor editAs="oneCell">
    <xdr:from>
      <xdr:col>5</xdr:col>
      <xdr:colOff>219075</xdr:colOff>
      <xdr:row>26</xdr:row>
      <xdr:rowOff>609600</xdr:rowOff>
    </xdr:from>
    <xdr:to>
      <xdr:col>9</xdr:col>
      <xdr:colOff>160157</xdr:colOff>
      <xdr:row>36</xdr:row>
      <xdr:rowOff>19050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6500" y="5767388"/>
          <a:ext cx="2531882" cy="1671637"/>
        </a:xfrm>
        <a:prstGeom prst="rect">
          <a:avLst/>
        </a:prstGeom>
      </xdr:spPr>
    </xdr:pic>
    <xdr:clientData/>
  </xdr:twoCellAnchor>
  <xdr:twoCellAnchor editAs="oneCell">
    <xdr:from>
      <xdr:col>6</xdr:col>
      <xdr:colOff>62489</xdr:colOff>
      <xdr:row>16</xdr:row>
      <xdr:rowOff>133350</xdr:rowOff>
    </xdr:from>
    <xdr:to>
      <xdr:col>8</xdr:col>
      <xdr:colOff>467220</xdr:colOff>
      <xdr:row>26</xdr:row>
      <xdr:rowOff>309563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77614" y="3028950"/>
          <a:ext cx="1700131" cy="2438401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309562</xdr:colOff>
      <xdr:row>6</xdr:row>
      <xdr:rowOff>28575</xdr:rowOff>
    </xdr:from>
    <xdr:to>
      <xdr:col>9</xdr:col>
      <xdr:colOff>275473</xdr:colOff>
      <xdr:row>15</xdr:row>
      <xdr:rowOff>114301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76987" y="1114425"/>
          <a:ext cx="2556711" cy="1714501"/>
        </a:xfrm>
        <a:prstGeom prst="rect">
          <a:avLst/>
        </a:prstGeom>
      </xdr:spPr>
    </xdr:pic>
    <xdr:clientData/>
  </xdr:twoCellAnchor>
  <xdr:twoCellAnchor>
    <xdr:from>
      <xdr:col>7</xdr:col>
      <xdr:colOff>190499</xdr:colOff>
      <xdr:row>26</xdr:row>
      <xdr:rowOff>547687</xdr:rowOff>
    </xdr:from>
    <xdr:to>
      <xdr:col>8</xdr:col>
      <xdr:colOff>223837</xdr:colOff>
      <xdr:row>27</xdr:row>
      <xdr:rowOff>166688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7553324" y="5705475"/>
          <a:ext cx="681038" cy="252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70</a:t>
          </a:r>
        </a:p>
      </xdr:txBody>
    </xdr:sp>
    <xdr:clientData/>
  </xdr:twoCellAnchor>
  <xdr:twoCellAnchor>
    <xdr:from>
      <xdr:col>9</xdr:col>
      <xdr:colOff>71437</xdr:colOff>
      <xdr:row>30</xdr:row>
      <xdr:rowOff>180974</xdr:rowOff>
    </xdr:from>
    <xdr:to>
      <xdr:col>10</xdr:col>
      <xdr:colOff>104775</xdr:colOff>
      <xdr:row>32</xdr:row>
      <xdr:rowOff>61911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8729662" y="651509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38</a:t>
          </a:r>
        </a:p>
      </xdr:txBody>
    </xdr:sp>
    <xdr:clientData/>
  </xdr:twoCellAnchor>
  <xdr:twoCellAnchor>
    <xdr:from>
      <xdr:col>8</xdr:col>
      <xdr:colOff>171448</xdr:colOff>
      <xdr:row>28</xdr:row>
      <xdr:rowOff>171447</xdr:rowOff>
    </xdr:from>
    <xdr:to>
      <xdr:col>8</xdr:col>
      <xdr:colOff>528636</xdr:colOff>
      <xdr:row>30</xdr:row>
      <xdr:rowOff>52384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181973" y="6143622"/>
          <a:ext cx="35718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8</xdr:col>
      <xdr:colOff>28575</xdr:colOff>
      <xdr:row>30</xdr:row>
      <xdr:rowOff>100012</xdr:rowOff>
    </xdr:from>
    <xdr:to>
      <xdr:col>8</xdr:col>
      <xdr:colOff>471488</xdr:colOff>
      <xdr:row>31</xdr:row>
      <xdr:rowOff>161924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8039100" y="6434137"/>
          <a:ext cx="44291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11.5</a:t>
          </a:r>
        </a:p>
      </xdr:txBody>
    </xdr:sp>
    <xdr:clientData/>
  </xdr:twoCellAnchor>
  <xdr:twoCellAnchor>
    <xdr:from>
      <xdr:col>7</xdr:col>
      <xdr:colOff>547687</xdr:colOff>
      <xdr:row>32</xdr:row>
      <xdr:rowOff>171448</xdr:rowOff>
    </xdr:from>
    <xdr:to>
      <xdr:col>8</xdr:col>
      <xdr:colOff>280988</xdr:colOff>
      <xdr:row>34</xdr:row>
      <xdr:rowOff>52385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7910512" y="6867523"/>
          <a:ext cx="381001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6</xdr:col>
      <xdr:colOff>266699</xdr:colOff>
      <xdr:row>30</xdr:row>
      <xdr:rowOff>80962</xdr:rowOff>
    </xdr:from>
    <xdr:to>
      <xdr:col>7</xdr:col>
      <xdr:colOff>233363</xdr:colOff>
      <xdr:row>31</xdr:row>
      <xdr:rowOff>142874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981824" y="6415087"/>
          <a:ext cx="614364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304800</xdr:colOff>
      <xdr:row>5</xdr:row>
      <xdr:rowOff>133350</xdr:rowOff>
    </xdr:from>
    <xdr:to>
      <xdr:col>8</xdr:col>
      <xdr:colOff>338138</xdr:colOff>
      <xdr:row>7</xdr:row>
      <xdr:rowOff>14287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7667625" y="1038225"/>
          <a:ext cx="681038" cy="1509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70</a:t>
          </a:r>
        </a:p>
      </xdr:txBody>
    </xdr:sp>
    <xdr:clientData/>
  </xdr:twoCellAnchor>
  <xdr:twoCellAnchor>
    <xdr:from>
      <xdr:col>9</xdr:col>
      <xdr:colOff>252412</xdr:colOff>
      <xdr:row>10</xdr:row>
      <xdr:rowOff>33337</xdr:rowOff>
    </xdr:from>
    <xdr:to>
      <xdr:col>10</xdr:col>
      <xdr:colOff>285750</xdr:colOff>
      <xdr:row>11</xdr:row>
      <xdr:rowOff>95249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910637" y="184308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38</a:t>
          </a:r>
        </a:p>
      </xdr:txBody>
    </xdr:sp>
    <xdr:clientData/>
  </xdr:twoCellAnchor>
  <xdr:twoCellAnchor>
    <xdr:from>
      <xdr:col>7</xdr:col>
      <xdr:colOff>271461</xdr:colOff>
      <xdr:row>9</xdr:row>
      <xdr:rowOff>90487</xdr:rowOff>
    </xdr:from>
    <xdr:to>
      <xdr:col>8</xdr:col>
      <xdr:colOff>197826</xdr:colOff>
      <xdr:row>10</xdr:row>
      <xdr:rowOff>152399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499346" y="1819641"/>
          <a:ext cx="534499" cy="252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5</xdr:col>
      <xdr:colOff>433387</xdr:colOff>
      <xdr:row>9</xdr:row>
      <xdr:rowOff>90488</xdr:rowOff>
    </xdr:from>
    <xdr:to>
      <xdr:col>6</xdr:col>
      <xdr:colOff>395653</xdr:colOff>
      <xdr:row>10</xdr:row>
      <xdr:rowOff>152400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445002" y="1819642"/>
          <a:ext cx="570401" cy="252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11.5</a:t>
          </a:r>
        </a:p>
      </xdr:txBody>
    </xdr:sp>
    <xdr:clientData/>
  </xdr:twoCellAnchor>
  <xdr:twoCellAnchor>
    <xdr:from>
      <xdr:col>5</xdr:col>
      <xdr:colOff>600076</xdr:colOff>
      <xdr:row>7</xdr:row>
      <xdr:rowOff>157163</xdr:rowOff>
    </xdr:from>
    <xdr:to>
      <xdr:col>6</xdr:col>
      <xdr:colOff>402981</xdr:colOff>
      <xdr:row>9</xdr:row>
      <xdr:rowOff>38100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5611691" y="1505317"/>
          <a:ext cx="411040" cy="261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5</xdr:col>
      <xdr:colOff>542925</xdr:colOff>
      <xdr:row>12</xdr:row>
      <xdr:rowOff>161925</xdr:rowOff>
    </xdr:from>
    <xdr:to>
      <xdr:col>6</xdr:col>
      <xdr:colOff>359019</xdr:colOff>
      <xdr:row>14</xdr:row>
      <xdr:rowOff>42862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5554540" y="2462579"/>
          <a:ext cx="424229" cy="261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7</xdr:col>
      <xdr:colOff>285750</xdr:colOff>
      <xdr:row>16</xdr:row>
      <xdr:rowOff>109537</xdr:rowOff>
    </xdr:from>
    <xdr:to>
      <xdr:col>8</xdr:col>
      <xdr:colOff>319088</xdr:colOff>
      <xdr:row>16</xdr:row>
      <xdr:rowOff>352424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7648575" y="30051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38</a:t>
          </a:r>
        </a:p>
      </xdr:txBody>
    </xdr:sp>
    <xdr:clientData/>
  </xdr:twoCellAnchor>
  <xdr:twoCellAnchor>
    <xdr:from>
      <xdr:col>8</xdr:col>
      <xdr:colOff>419100</xdr:colOff>
      <xdr:row>20</xdr:row>
      <xdr:rowOff>52387</xdr:rowOff>
    </xdr:from>
    <xdr:to>
      <xdr:col>9</xdr:col>
      <xdr:colOff>452438</xdr:colOff>
      <xdr:row>21</xdr:row>
      <xdr:rowOff>114299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8429625" y="412432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70</a:t>
          </a:r>
        </a:p>
      </xdr:txBody>
    </xdr:sp>
    <xdr:clientData/>
  </xdr:twoCellAnchor>
  <xdr:twoCellAnchor>
    <xdr:from>
      <xdr:col>7</xdr:col>
      <xdr:colOff>319088</xdr:colOff>
      <xdr:row>16</xdr:row>
      <xdr:rowOff>523875</xdr:rowOff>
    </xdr:from>
    <xdr:to>
      <xdr:col>8</xdr:col>
      <xdr:colOff>352426</xdr:colOff>
      <xdr:row>17</xdr:row>
      <xdr:rowOff>133349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681913" y="34194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11.5</a:t>
          </a:r>
        </a:p>
      </xdr:txBody>
    </xdr:sp>
    <xdr:clientData/>
  </xdr:twoCellAnchor>
  <xdr:twoCellAnchor>
    <xdr:from>
      <xdr:col>7</xdr:col>
      <xdr:colOff>419101</xdr:colOff>
      <xdr:row>17</xdr:row>
      <xdr:rowOff>104774</xdr:rowOff>
    </xdr:from>
    <xdr:to>
      <xdr:col>8</xdr:col>
      <xdr:colOff>452439</xdr:colOff>
      <xdr:row>18</xdr:row>
      <xdr:rowOff>166686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7781926" y="363378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7</xdr:col>
      <xdr:colOff>238126</xdr:colOff>
      <xdr:row>21</xdr:row>
      <xdr:rowOff>128587</xdr:rowOff>
    </xdr:from>
    <xdr:to>
      <xdr:col>8</xdr:col>
      <xdr:colOff>271464</xdr:colOff>
      <xdr:row>23</xdr:row>
      <xdr:rowOff>9524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7600951" y="4381500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228601</xdr:colOff>
      <xdr:row>17</xdr:row>
      <xdr:rowOff>90487</xdr:rowOff>
    </xdr:from>
    <xdr:to>
      <xdr:col>7</xdr:col>
      <xdr:colOff>261939</xdr:colOff>
      <xdr:row>18</xdr:row>
      <xdr:rowOff>152399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943726" y="3619500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7</xdr:col>
      <xdr:colOff>114300</xdr:colOff>
      <xdr:row>36</xdr:row>
      <xdr:rowOff>195261</xdr:rowOff>
    </xdr:from>
    <xdr:to>
      <xdr:col>8</xdr:col>
      <xdr:colOff>147638</xdr:colOff>
      <xdr:row>36</xdr:row>
      <xdr:rowOff>438148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7477125" y="7615236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38</a:t>
          </a:r>
        </a:p>
      </xdr:txBody>
    </xdr:sp>
    <xdr:clientData/>
  </xdr:twoCellAnchor>
  <xdr:twoCellAnchor>
    <xdr:from>
      <xdr:col>8</xdr:col>
      <xdr:colOff>328612</xdr:colOff>
      <xdr:row>40</xdr:row>
      <xdr:rowOff>128586</xdr:rowOff>
    </xdr:from>
    <xdr:to>
      <xdr:col>9</xdr:col>
      <xdr:colOff>361950</xdr:colOff>
      <xdr:row>42</xdr:row>
      <xdr:rowOff>9523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8339137" y="872489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70</a:t>
          </a:r>
        </a:p>
      </xdr:txBody>
    </xdr:sp>
    <xdr:clientData/>
  </xdr:twoCellAnchor>
  <xdr:twoCellAnchor>
    <xdr:from>
      <xdr:col>7</xdr:col>
      <xdr:colOff>209550</xdr:colOff>
      <xdr:row>39</xdr:row>
      <xdr:rowOff>28573</xdr:rowOff>
    </xdr:from>
    <xdr:to>
      <xdr:col>8</xdr:col>
      <xdr:colOff>242888</xdr:colOff>
      <xdr:row>40</xdr:row>
      <xdr:rowOff>90485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572375" y="8443911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242886</xdr:colOff>
      <xdr:row>43</xdr:row>
      <xdr:rowOff>19048</xdr:rowOff>
    </xdr:from>
    <xdr:to>
      <xdr:col>8</xdr:col>
      <xdr:colOff>276224</xdr:colOff>
      <xdr:row>44</xdr:row>
      <xdr:rowOff>80960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605711" y="9158286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6</xdr:col>
      <xdr:colOff>128586</xdr:colOff>
      <xdr:row>43</xdr:row>
      <xdr:rowOff>23811</xdr:rowOff>
    </xdr:from>
    <xdr:to>
      <xdr:col>7</xdr:col>
      <xdr:colOff>161924</xdr:colOff>
      <xdr:row>44</xdr:row>
      <xdr:rowOff>85723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6843711" y="916304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19</a:t>
          </a:r>
        </a:p>
      </xdr:txBody>
    </xdr:sp>
    <xdr:clientData/>
  </xdr:twoCellAnchor>
  <xdr:twoCellAnchor>
    <xdr:from>
      <xdr:col>7</xdr:col>
      <xdr:colOff>76198</xdr:colOff>
      <xdr:row>45</xdr:row>
      <xdr:rowOff>133349</xdr:rowOff>
    </xdr:from>
    <xdr:to>
      <xdr:col>8</xdr:col>
      <xdr:colOff>109536</xdr:colOff>
      <xdr:row>46</xdr:row>
      <xdr:rowOff>195261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7439023" y="96345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11.5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523207</xdr:colOff>
      <xdr:row>36</xdr:row>
      <xdr:rowOff>238124</xdr:rowOff>
    </xdr:from>
    <xdr:to>
      <xdr:col>8</xdr:col>
      <xdr:colOff>353942</xdr:colOff>
      <xdr:row>46</xdr:row>
      <xdr:rowOff>438189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5782" y="7696199"/>
          <a:ext cx="1773835" cy="2462253"/>
        </a:xfrm>
        <a:prstGeom prst="rect">
          <a:avLst/>
        </a:prstGeom>
      </xdr:spPr>
    </xdr:pic>
    <xdr:clientData/>
  </xdr:twoCellAnchor>
  <xdr:twoCellAnchor editAs="oneCell">
    <xdr:from>
      <xdr:col>5</xdr:col>
      <xdr:colOff>219075</xdr:colOff>
      <xdr:row>26</xdr:row>
      <xdr:rowOff>609600</xdr:rowOff>
    </xdr:from>
    <xdr:to>
      <xdr:col>9</xdr:col>
      <xdr:colOff>160157</xdr:colOff>
      <xdr:row>36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81650" y="5805488"/>
          <a:ext cx="2531882" cy="1671637"/>
        </a:xfrm>
        <a:prstGeom prst="rect">
          <a:avLst/>
        </a:prstGeom>
      </xdr:spPr>
    </xdr:pic>
    <xdr:clientData/>
  </xdr:twoCellAnchor>
  <xdr:twoCellAnchor editAs="oneCell">
    <xdr:from>
      <xdr:col>6</xdr:col>
      <xdr:colOff>62489</xdr:colOff>
      <xdr:row>16</xdr:row>
      <xdr:rowOff>133350</xdr:rowOff>
    </xdr:from>
    <xdr:to>
      <xdr:col>8</xdr:col>
      <xdr:colOff>467220</xdr:colOff>
      <xdr:row>26</xdr:row>
      <xdr:rowOff>309563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72764" y="3067050"/>
          <a:ext cx="1700131" cy="2438401"/>
        </a:xfrm>
        <a:prstGeom prst="rect">
          <a:avLst/>
        </a:prstGeom>
      </xdr:spPr>
    </xdr:pic>
    <xdr:clientData/>
  </xdr:twoCellAnchor>
  <xdr:twoCellAnchor editAs="oneCell">
    <xdr:from>
      <xdr:col>5</xdr:col>
      <xdr:colOff>309562</xdr:colOff>
      <xdr:row>6</xdr:row>
      <xdr:rowOff>28575</xdr:rowOff>
    </xdr:from>
    <xdr:to>
      <xdr:col>9</xdr:col>
      <xdr:colOff>275473</xdr:colOff>
      <xdr:row>15</xdr:row>
      <xdr:rowOff>114301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672137" y="1152525"/>
          <a:ext cx="2556711" cy="1714501"/>
        </a:xfrm>
        <a:prstGeom prst="rect">
          <a:avLst/>
        </a:prstGeom>
      </xdr:spPr>
    </xdr:pic>
    <xdr:clientData/>
  </xdr:twoCellAnchor>
  <xdr:twoCellAnchor>
    <xdr:from>
      <xdr:col>7</xdr:col>
      <xdr:colOff>190499</xdr:colOff>
      <xdr:row>26</xdr:row>
      <xdr:rowOff>547687</xdr:rowOff>
    </xdr:from>
    <xdr:to>
      <xdr:col>8</xdr:col>
      <xdr:colOff>223837</xdr:colOff>
      <xdr:row>27</xdr:row>
      <xdr:rowOff>166688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848474" y="5743575"/>
          <a:ext cx="681038" cy="252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94</a:t>
          </a:r>
        </a:p>
      </xdr:txBody>
    </xdr:sp>
    <xdr:clientData/>
  </xdr:twoCellAnchor>
  <xdr:twoCellAnchor>
    <xdr:from>
      <xdr:col>9</xdr:col>
      <xdr:colOff>71437</xdr:colOff>
      <xdr:row>30</xdr:row>
      <xdr:rowOff>180974</xdr:rowOff>
    </xdr:from>
    <xdr:to>
      <xdr:col>10</xdr:col>
      <xdr:colOff>104775</xdr:colOff>
      <xdr:row>32</xdr:row>
      <xdr:rowOff>61911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8024812" y="655319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8</xdr:col>
      <xdr:colOff>171447</xdr:colOff>
      <xdr:row>28</xdr:row>
      <xdr:rowOff>171447</xdr:rowOff>
    </xdr:from>
    <xdr:to>
      <xdr:col>8</xdr:col>
      <xdr:colOff>633412</xdr:colOff>
      <xdr:row>30</xdr:row>
      <xdr:rowOff>52384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477122" y="6181722"/>
          <a:ext cx="461965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8</xdr:col>
      <xdr:colOff>28575</xdr:colOff>
      <xdr:row>30</xdr:row>
      <xdr:rowOff>100012</xdr:rowOff>
    </xdr:from>
    <xdr:to>
      <xdr:col>8</xdr:col>
      <xdr:colOff>471488</xdr:colOff>
      <xdr:row>31</xdr:row>
      <xdr:rowOff>161924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334250" y="6472237"/>
          <a:ext cx="44291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</a:t>
          </a:r>
        </a:p>
      </xdr:txBody>
    </xdr:sp>
    <xdr:clientData/>
  </xdr:twoCellAnchor>
  <xdr:twoCellAnchor>
    <xdr:from>
      <xdr:col>7</xdr:col>
      <xdr:colOff>547687</xdr:colOff>
      <xdr:row>32</xdr:row>
      <xdr:rowOff>171448</xdr:rowOff>
    </xdr:from>
    <xdr:to>
      <xdr:col>8</xdr:col>
      <xdr:colOff>385763</xdr:colOff>
      <xdr:row>34</xdr:row>
      <xdr:rowOff>52385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7205662" y="6905623"/>
          <a:ext cx="485776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6</xdr:col>
      <xdr:colOff>266699</xdr:colOff>
      <xdr:row>30</xdr:row>
      <xdr:rowOff>80962</xdr:rowOff>
    </xdr:from>
    <xdr:to>
      <xdr:col>7</xdr:col>
      <xdr:colOff>233363</xdr:colOff>
      <xdr:row>31</xdr:row>
      <xdr:rowOff>142874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6276974" y="6453187"/>
          <a:ext cx="614364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7</xdr:col>
      <xdr:colOff>271463</xdr:colOff>
      <xdr:row>5</xdr:row>
      <xdr:rowOff>166688</xdr:rowOff>
    </xdr:from>
    <xdr:to>
      <xdr:col>8</xdr:col>
      <xdr:colOff>304801</xdr:colOff>
      <xdr:row>7</xdr:row>
      <xdr:rowOff>47625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6929438" y="1109663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94</a:t>
          </a:r>
        </a:p>
      </xdr:txBody>
    </xdr:sp>
    <xdr:clientData/>
  </xdr:twoCellAnchor>
  <xdr:twoCellAnchor>
    <xdr:from>
      <xdr:col>9</xdr:col>
      <xdr:colOff>242887</xdr:colOff>
      <xdr:row>10</xdr:row>
      <xdr:rowOff>76199</xdr:rowOff>
    </xdr:from>
    <xdr:to>
      <xdr:col>10</xdr:col>
      <xdr:colOff>276225</xdr:colOff>
      <xdr:row>11</xdr:row>
      <xdr:rowOff>138111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8196262" y="192404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7</xdr:col>
      <xdr:colOff>271462</xdr:colOff>
      <xdr:row>9</xdr:row>
      <xdr:rowOff>90487</xdr:rowOff>
    </xdr:from>
    <xdr:to>
      <xdr:col>8</xdr:col>
      <xdr:colOff>71438</xdr:colOff>
      <xdr:row>10</xdr:row>
      <xdr:rowOff>152399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6929437" y="1757362"/>
          <a:ext cx="447676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5</xdr:col>
      <xdr:colOff>433388</xdr:colOff>
      <xdr:row>9</xdr:row>
      <xdr:rowOff>90488</xdr:rowOff>
    </xdr:from>
    <xdr:to>
      <xdr:col>6</xdr:col>
      <xdr:colOff>247651</xdr:colOff>
      <xdr:row>10</xdr:row>
      <xdr:rowOff>152400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5795963" y="1757363"/>
          <a:ext cx="46196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</a:t>
          </a:r>
        </a:p>
      </xdr:txBody>
    </xdr:sp>
    <xdr:clientData/>
  </xdr:twoCellAnchor>
  <xdr:twoCellAnchor>
    <xdr:from>
      <xdr:col>5</xdr:col>
      <xdr:colOff>504825</xdr:colOff>
      <xdr:row>7</xdr:row>
      <xdr:rowOff>157163</xdr:rowOff>
    </xdr:from>
    <xdr:to>
      <xdr:col>6</xdr:col>
      <xdr:colOff>333375</xdr:colOff>
      <xdr:row>9</xdr:row>
      <xdr:rowOff>38100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5867400" y="1462088"/>
          <a:ext cx="476250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5</xdr:col>
      <xdr:colOff>542924</xdr:colOff>
      <xdr:row>12</xdr:row>
      <xdr:rowOff>161925</xdr:rowOff>
    </xdr:from>
    <xdr:to>
      <xdr:col>6</xdr:col>
      <xdr:colOff>338137</xdr:colOff>
      <xdr:row>14</xdr:row>
      <xdr:rowOff>42862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5905499" y="2371725"/>
          <a:ext cx="44291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7</xdr:col>
      <xdr:colOff>285750</xdr:colOff>
      <xdr:row>16</xdr:row>
      <xdr:rowOff>109537</xdr:rowOff>
    </xdr:from>
    <xdr:to>
      <xdr:col>8</xdr:col>
      <xdr:colOff>319088</xdr:colOff>
      <xdr:row>16</xdr:row>
      <xdr:rowOff>352424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6943725" y="30432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8</xdr:col>
      <xdr:colOff>419100</xdr:colOff>
      <xdr:row>20</xdr:row>
      <xdr:rowOff>52387</xdr:rowOff>
    </xdr:from>
    <xdr:to>
      <xdr:col>9</xdr:col>
      <xdr:colOff>452438</xdr:colOff>
      <xdr:row>21</xdr:row>
      <xdr:rowOff>114299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7724775" y="416242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94</a:t>
          </a:r>
        </a:p>
      </xdr:txBody>
    </xdr:sp>
    <xdr:clientData/>
  </xdr:twoCellAnchor>
  <xdr:twoCellAnchor>
    <xdr:from>
      <xdr:col>7</xdr:col>
      <xdr:colOff>319088</xdr:colOff>
      <xdr:row>16</xdr:row>
      <xdr:rowOff>523875</xdr:rowOff>
    </xdr:from>
    <xdr:to>
      <xdr:col>8</xdr:col>
      <xdr:colOff>352426</xdr:colOff>
      <xdr:row>17</xdr:row>
      <xdr:rowOff>133349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6977063" y="34575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</a:t>
          </a:r>
        </a:p>
      </xdr:txBody>
    </xdr:sp>
    <xdr:clientData/>
  </xdr:twoCellAnchor>
  <xdr:twoCellAnchor>
    <xdr:from>
      <xdr:col>7</xdr:col>
      <xdr:colOff>419101</xdr:colOff>
      <xdr:row>17</xdr:row>
      <xdr:rowOff>104774</xdr:rowOff>
    </xdr:from>
    <xdr:to>
      <xdr:col>8</xdr:col>
      <xdr:colOff>452439</xdr:colOff>
      <xdr:row>18</xdr:row>
      <xdr:rowOff>166686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7077076" y="367188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7</xdr:col>
      <xdr:colOff>238126</xdr:colOff>
      <xdr:row>21</xdr:row>
      <xdr:rowOff>128587</xdr:rowOff>
    </xdr:from>
    <xdr:to>
      <xdr:col>8</xdr:col>
      <xdr:colOff>271464</xdr:colOff>
      <xdr:row>23</xdr:row>
      <xdr:rowOff>9524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6896101" y="4419600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6</xdr:col>
      <xdr:colOff>228601</xdr:colOff>
      <xdr:row>17</xdr:row>
      <xdr:rowOff>90487</xdr:rowOff>
    </xdr:from>
    <xdr:to>
      <xdr:col>7</xdr:col>
      <xdr:colOff>261939</xdr:colOff>
      <xdr:row>18</xdr:row>
      <xdr:rowOff>152399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6238876" y="3657600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7</xdr:col>
      <xdr:colOff>114300</xdr:colOff>
      <xdr:row>36</xdr:row>
      <xdr:rowOff>195261</xdr:rowOff>
    </xdr:from>
    <xdr:to>
      <xdr:col>8</xdr:col>
      <xdr:colOff>147638</xdr:colOff>
      <xdr:row>36</xdr:row>
      <xdr:rowOff>438148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6772275" y="7653336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8</xdr:col>
      <xdr:colOff>328612</xdr:colOff>
      <xdr:row>40</xdr:row>
      <xdr:rowOff>128586</xdr:rowOff>
    </xdr:from>
    <xdr:to>
      <xdr:col>9</xdr:col>
      <xdr:colOff>361950</xdr:colOff>
      <xdr:row>42</xdr:row>
      <xdr:rowOff>9523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7634287" y="876299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94</a:t>
          </a:r>
        </a:p>
      </xdr:txBody>
    </xdr:sp>
    <xdr:clientData/>
  </xdr:twoCellAnchor>
  <xdr:twoCellAnchor>
    <xdr:from>
      <xdr:col>7</xdr:col>
      <xdr:colOff>209550</xdr:colOff>
      <xdr:row>39</xdr:row>
      <xdr:rowOff>28573</xdr:rowOff>
    </xdr:from>
    <xdr:to>
      <xdr:col>8</xdr:col>
      <xdr:colOff>242888</xdr:colOff>
      <xdr:row>40</xdr:row>
      <xdr:rowOff>90485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6867525" y="8482011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7</xdr:col>
      <xdr:colOff>242886</xdr:colOff>
      <xdr:row>43</xdr:row>
      <xdr:rowOff>19048</xdr:rowOff>
    </xdr:from>
    <xdr:to>
      <xdr:col>8</xdr:col>
      <xdr:colOff>276224</xdr:colOff>
      <xdr:row>44</xdr:row>
      <xdr:rowOff>80960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6900861" y="9196386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6</xdr:col>
      <xdr:colOff>128586</xdr:colOff>
      <xdr:row>43</xdr:row>
      <xdr:rowOff>23811</xdr:rowOff>
    </xdr:from>
    <xdr:to>
      <xdr:col>7</xdr:col>
      <xdr:colOff>161924</xdr:colOff>
      <xdr:row>44</xdr:row>
      <xdr:rowOff>85723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6138861" y="9201149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29.5</a:t>
          </a:r>
        </a:p>
      </xdr:txBody>
    </xdr:sp>
    <xdr:clientData/>
  </xdr:twoCellAnchor>
  <xdr:twoCellAnchor>
    <xdr:from>
      <xdr:col>7</xdr:col>
      <xdr:colOff>76198</xdr:colOff>
      <xdr:row>45</xdr:row>
      <xdr:rowOff>133349</xdr:rowOff>
    </xdr:from>
    <xdr:to>
      <xdr:col>8</xdr:col>
      <xdr:colOff>109536</xdr:colOff>
      <xdr:row>46</xdr:row>
      <xdr:rowOff>195261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734173" y="96726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623888</xdr:colOff>
      <xdr:row>16</xdr:row>
      <xdr:rowOff>172833</xdr:rowOff>
    </xdr:from>
    <xdr:to>
      <xdr:col>8</xdr:col>
      <xdr:colOff>352816</xdr:colOff>
      <xdr:row>26</xdr:row>
      <xdr:rowOff>395288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6463" y="3106533"/>
          <a:ext cx="1672028" cy="2484643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200024</xdr:colOff>
      <xdr:row>5</xdr:row>
      <xdr:rowOff>164006</xdr:rowOff>
    </xdr:from>
    <xdr:to>
      <xdr:col>9</xdr:col>
      <xdr:colOff>259861</xdr:colOff>
      <xdr:row>15</xdr:row>
      <xdr:rowOff>161926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2599" y="1106981"/>
          <a:ext cx="2650637" cy="1807670"/>
        </a:xfrm>
        <a:prstGeom prst="rect">
          <a:avLst/>
        </a:prstGeom>
      </xdr:spPr>
    </xdr:pic>
    <xdr:clientData/>
  </xdr:twoCellAnchor>
  <xdr:twoCellAnchor>
    <xdr:from>
      <xdr:col>7</xdr:col>
      <xdr:colOff>271463</xdr:colOff>
      <xdr:row>5</xdr:row>
      <xdr:rowOff>166688</xdr:rowOff>
    </xdr:from>
    <xdr:to>
      <xdr:col>8</xdr:col>
      <xdr:colOff>304801</xdr:colOff>
      <xdr:row>7</xdr:row>
      <xdr:rowOff>47625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929438" y="1109663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119.5</a:t>
          </a:r>
        </a:p>
      </xdr:txBody>
    </xdr:sp>
    <xdr:clientData/>
  </xdr:twoCellAnchor>
  <xdr:twoCellAnchor>
    <xdr:from>
      <xdr:col>9</xdr:col>
      <xdr:colOff>252412</xdr:colOff>
      <xdr:row>10</xdr:row>
      <xdr:rowOff>128587</xdr:rowOff>
    </xdr:from>
    <xdr:to>
      <xdr:col>10</xdr:col>
      <xdr:colOff>285750</xdr:colOff>
      <xdr:row>12</xdr:row>
      <xdr:rowOff>9524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8205787" y="19764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95.5</a:t>
          </a:r>
        </a:p>
      </xdr:txBody>
    </xdr:sp>
    <xdr:clientData/>
  </xdr:twoCellAnchor>
  <xdr:twoCellAnchor>
    <xdr:from>
      <xdr:col>7</xdr:col>
      <xdr:colOff>576261</xdr:colOff>
      <xdr:row>10</xdr:row>
      <xdr:rowOff>38099</xdr:rowOff>
    </xdr:from>
    <xdr:to>
      <xdr:col>8</xdr:col>
      <xdr:colOff>504824</xdr:colOff>
      <xdr:row>11</xdr:row>
      <xdr:rowOff>100011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6805611" y="1962149"/>
          <a:ext cx="538163" cy="252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28575</xdr:colOff>
      <xdr:row>10</xdr:row>
      <xdr:rowOff>23813</xdr:rowOff>
    </xdr:from>
    <xdr:to>
      <xdr:col>6</xdr:col>
      <xdr:colOff>490538</xdr:colOff>
      <xdr:row>11</xdr:row>
      <xdr:rowOff>85725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6038850" y="1871663"/>
          <a:ext cx="46196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276225</xdr:colOff>
      <xdr:row>8</xdr:row>
      <xdr:rowOff>90488</xdr:rowOff>
    </xdr:from>
    <xdr:to>
      <xdr:col>8</xdr:col>
      <xdr:colOff>219075</xdr:colOff>
      <xdr:row>9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6934200" y="1576388"/>
          <a:ext cx="590550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  <xdr:twoCellAnchor>
    <xdr:from>
      <xdr:col>7</xdr:col>
      <xdr:colOff>214312</xdr:colOff>
      <xdr:row>12</xdr:row>
      <xdr:rowOff>95250</xdr:rowOff>
    </xdr:from>
    <xdr:to>
      <xdr:col>8</xdr:col>
      <xdr:colOff>214313</xdr:colOff>
      <xdr:row>13</xdr:row>
      <xdr:rowOff>157162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6872287" y="2305050"/>
          <a:ext cx="647701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  <xdr:twoCellAnchor>
    <xdr:from>
      <xdr:col>7</xdr:col>
      <xdr:colOff>285750</xdr:colOff>
      <xdr:row>16</xdr:row>
      <xdr:rowOff>109537</xdr:rowOff>
    </xdr:from>
    <xdr:to>
      <xdr:col>8</xdr:col>
      <xdr:colOff>319088</xdr:colOff>
      <xdr:row>16</xdr:row>
      <xdr:rowOff>352424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6943725" y="30432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95.5</a:t>
          </a:r>
        </a:p>
      </xdr:txBody>
    </xdr:sp>
    <xdr:clientData/>
  </xdr:twoCellAnchor>
  <xdr:twoCellAnchor>
    <xdr:from>
      <xdr:col>8</xdr:col>
      <xdr:colOff>381000</xdr:colOff>
      <xdr:row>20</xdr:row>
      <xdr:rowOff>57150</xdr:rowOff>
    </xdr:from>
    <xdr:to>
      <xdr:col>9</xdr:col>
      <xdr:colOff>414338</xdr:colOff>
      <xdr:row>21</xdr:row>
      <xdr:rowOff>119062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7686675" y="4167188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119.5</a:t>
          </a:r>
        </a:p>
      </xdr:txBody>
    </xdr:sp>
    <xdr:clientData/>
  </xdr:twoCellAnchor>
  <xdr:twoCellAnchor>
    <xdr:from>
      <xdr:col>7</xdr:col>
      <xdr:colOff>228600</xdr:colOff>
      <xdr:row>17</xdr:row>
      <xdr:rowOff>42862</xdr:rowOff>
    </xdr:from>
    <xdr:to>
      <xdr:col>8</xdr:col>
      <xdr:colOff>261938</xdr:colOff>
      <xdr:row>18</xdr:row>
      <xdr:rowOff>104774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6886575" y="36099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238126</xdr:colOff>
      <xdr:row>19</xdr:row>
      <xdr:rowOff>138111</xdr:rowOff>
    </xdr:from>
    <xdr:to>
      <xdr:col>8</xdr:col>
      <xdr:colOff>271464</xdr:colOff>
      <xdr:row>21</xdr:row>
      <xdr:rowOff>19048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6896101" y="4067174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  <xdr:twoCellAnchor>
    <xdr:from>
      <xdr:col>7</xdr:col>
      <xdr:colOff>190501</xdr:colOff>
      <xdr:row>23</xdr:row>
      <xdr:rowOff>57149</xdr:rowOff>
    </xdr:from>
    <xdr:to>
      <xdr:col>8</xdr:col>
      <xdr:colOff>223839</xdr:colOff>
      <xdr:row>24</xdr:row>
      <xdr:rowOff>119061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6848476" y="4710112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138113</xdr:colOff>
      <xdr:row>19</xdr:row>
      <xdr:rowOff>138112</xdr:rowOff>
    </xdr:from>
    <xdr:to>
      <xdr:col>7</xdr:col>
      <xdr:colOff>171451</xdr:colOff>
      <xdr:row>21</xdr:row>
      <xdr:rowOff>19049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6148388" y="40671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623888</xdr:colOff>
      <xdr:row>16</xdr:row>
      <xdr:rowOff>172833</xdr:rowOff>
    </xdr:from>
    <xdr:to>
      <xdr:col>8</xdr:col>
      <xdr:colOff>352816</xdr:colOff>
      <xdr:row>26</xdr:row>
      <xdr:rowOff>395288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6463" y="3106533"/>
          <a:ext cx="1672028" cy="2484643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200024</xdr:colOff>
      <xdr:row>5</xdr:row>
      <xdr:rowOff>164006</xdr:rowOff>
    </xdr:from>
    <xdr:to>
      <xdr:col>9</xdr:col>
      <xdr:colOff>259861</xdr:colOff>
      <xdr:row>15</xdr:row>
      <xdr:rowOff>161926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2599" y="1106981"/>
          <a:ext cx="2650637" cy="1807670"/>
        </a:xfrm>
        <a:prstGeom prst="rect">
          <a:avLst/>
        </a:prstGeom>
      </xdr:spPr>
    </xdr:pic>
    <xdr:clientData/>
  </xdr:twoCellAnchor>
  <xdr:twoCellAnchor>
    <xdr:from>
      <xdr:col>7</xdr:col>
      <xdr:colOff>271463</xdr:colOff>
      <xdr:row>5</xdr:row>
      <xdr:rowOff>166688</xdr:rowOff>
    </xdr:from>
    <xdr:to>
      <xdr:col>8</xdr:col>
      <xdr:colOff>304801</xdr:colOff>
      <xdr:row>7</xdr:row>
      <xdr:rowOff>47625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6929438" y="1109663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83</a:t>
          </a:r>
        </a:p>
      </xdr:txBody>
    </xdr:sp>
    <xdr:clientData/>
  </xdr:twoCellAnchor>
  <xdr:twoCellAnchor>
    <xdr:from>
      <xdr:col>9</xdr:col>
      <xdr:colOff>252412</xdr:colOff>
      <xdr:row>10</xdr:row>
      <xdr:rowOff>128587</xdr:rowOff>
    </xdr:from>
    <xdr:to>
      <xdr:col>10</xdr:col>
      <xdr:colOff>285750</xdr:colOff>
      <xdr:row>12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8205787" y="19764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7</xdr:col>
      <xdr:colOff>576262</xdr:colOff>
      <xdr:row>10</xdr:row>
      <xdr:rowOff>38099</xdr:rowOff>
    </xdr:from>
    <xdr:to>
      <xdr:col>8</xdr:col>
      <xdr:colOff>376238</xdr:colOff>
      <xdr:row>11</xdr:row>
      <xdr:rowOff>100011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234237" y="1885949"/>
          <a:ext cx="447676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40.5</a:t>
          </a:r>
        </a:p>
      </xdr:txBody>
    </xdr:sp>
    <xdr:clientData/>
  </xdr:twoCellAnchor>
  <xdr:twoCellAnchor>
    <xdr:from>
      <xdr:col>6</xdr:col>
      <xdr:colOff>28575</xdr:colOff>
      <xdr:row>10</xdr:row>
      <xdr:rowOff>23813</xdr:rowOff>
    </xdr:from>
    <xdr:to>
      <xdr:col>6</xdr:col>
      <xdr:colOff>490538</xdr:colOff>
      <xdr:row>11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6038850" y="1871663"/>
          <a:ext cx="46196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40.5</a:t>
          </a:r>
        </a:p>
      </xdr:txBody>
    </xdr:sp>
    <xdr:clientData/>
  </xdr:twoCellAnchor>
  <xdr:twoCellAnchor>
    <xdr:from>
      <xdr:col>7</xdr:col>
      <xdr:colOff>276225</xdr:colOff>
      <xdr:row>8</xdr:row>
      <xdr:rowOff>90488</xdr:rowOff>
    </xdr:from>
    <xdr:to>
      <xdr:col>8</xdr:col>
      <xdr:colOff>219075</xdr:colOff>
      <xdr:row>9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6934200" y="1576388"/>
          <a:ext cx="590550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</a:t>
          </a:r>
        </a:p>
      </xdr:txBody>
    </xdr:sp>
    <xdr:clientData/>
  </xdr:twoCellAnchor>
  <xdr:twoCellAnchor>
    <xdr:from>
      <xdr:col>7</xdr:col>
      <xdr:colOff>214312</xdr:colOff>
      <xdr:row>12</xdr:row>
      <xdr:rowOff>95250</xdr:rowOff>
    </xdr:from>
    <xdr:to>
      <xdr:col>8</xdr:col>
      <xdr:colOff>214313</xdr:colOff>
      <xdr:row>13</xdr:row>
      <xdr:rowOff>157162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6872287" y="2305050"/>
          <a:ext cx="647701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</a:t>
          </a:r>
        </a:p>
      </xdr:txBody>
    </xdr:sp>
    <xdr:clientData/>
  </xdr:twoCellAnchor>
  <xdr:twoCellAnchor>
    <xdr:from>
      <xdr:col>7</xdr:col>
      <xdr:colOff>285750</xdr:colOff>
      <xdr:row>16</xdr:row>
      <xdr:rowOff>109537</xdr:rowOff>
    </xdr:from>
    <xdr:to>
      <xdr:col>8</xdr:col>
      <xdr:colOff>319088</xdr:colOff>
      <xdr:row>16</xdr:row>
      <xdr:rowOff>352424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6943725" y="30432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59</a:t>
          </a:r>
        </a:p>
      </xdr:txBody>
    </xdr:sp>
    <xdr:clientData/>
  </xdr:twoCellAnchor>
  <xdr:twoCellAnchor>
    <xdr:from>
      <xdr:col>8</xdr:col>
      <xdr:colOff>381000</xdr:colOff>
      <xdr:row>20</xdr:row>
      <xdr:rowOff>57150</xdr:rowOff>
    </xdr:from>
    <xdr:to>
      <xdr:col>9</xdr:col>
      <xdr:colOff>414338</xdr:colOff>
      <xdr:row>21</xdr:row>
      <xdr:rowOff>119062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7686675" y="4167188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83</a:t>
          </a:r>
        </a:p>
      </xdr:txBody>
    </xdr:sp>
    <xdr:clientData/>
  </xdr:twoCellAnchor>
  <xdr:twoCellAnchor>
    <xdr:from>
      <xdr:col>7</xdr:col>
      <xdr:colOff>228600</xdr:colOff>
      <xdr:row>17</xdr:row>
      <xdr:rowOff>42862</xdr:rowOff>
    </xdr:from>
    <xdr:to>
      <xdr:col>8</xdr:col>
      <xdr:colOff>261938</xdr:colOff>
      <xdr:row>18</xdr:row>
      <xdr:rowOff>104774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6886575" y="36099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40.5</a:t>
          </a:r>
        </a:p>
      </xdr:txBody>
    </xdr:sp>
    <xdr:clientData/>
  </xdr:twoCellAnchor>
  <xdr:twoCellAnchor>
    <xdr:from>
      <xdr:col>7</xdr:col>
      <xdr:colOff>238126</xdr:colOff>
      <xdr:row>19</xdr:row>
      <xdr:rowOff>138111</xdr:rowOff>
    </xdr:from>
    <xdr:to>
      <xdr:col>8</xdr:col>
      <xdr:colOff>271464</xdr:colOff>
      <xdr:row>21</xdr:row>
      <xdr:rowOff>19048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6896101" y="4067174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</a:t>
          </a:r>
        </a:p>
      </xdr:txBody>
    </xdr:sp>
    <xdr:clientData/>
  </xdr:twoCellAnchor>
  <xdr:twoCellAnchor>
    <xdr:from>
      <xdr:col>7</xdr:col>
      <xdr:colOff>190501</xdr:colOff>
      <xdr:row>23</xdr:row>
      <xdr:rowOff>57149</xdr:rowOff>
    </xdr:from>
    <xdr:to>
      <xdr:col>8</xdr:col>
      <xdr:colOff>223839</xdr:colOff>
      <xdr:row>24</xdr:row>
      <xdr:rowOff>119061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6848476" y="4710112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40.5</a:t>
          </a:r>
        </a:p>
      </xdr:txBody>
    </xdr:sp>
    <xdr:clientData/>
  </xdr:twoCellAnchor>
  <xdr:twoCellAnchor>
    <xdr:from>
      <xdr:col>6</xdr:col>
      <xdr:colOff>138113</xdr:colOff>
      <xdr:row>19</xdr:row>
      <xdr:rowOff>138112</xdr:rowOff>
    </xdr:from>
    <xdr:to>
      <xdr:col>7</xdr:col>
      <xdr:colOff>171451</xdr:colOff>
      <xdr:row>21</xdr:row>
      <xdr:rowOff>19049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6148388" y="40671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29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623888</xdr:colOff>
      <xdr:row>16</xdr:row>
      <xdr:rowOff>172833</xdr:rowOff>
    </xdr:from>
    <xdr:to>
      <xdr:col>8</xdr:col>
      <xdr:colOff>352816</xdr:colOff>
      <xdr:row>26</xdr:row>
      <xdr:rowOff>395288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6463" y="3106533"/>
          <a:ext cx="1672028" cy="2484643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200024</xdr:colOff>
      <xdr:row>5</xdr:row>
      <xdr:rowOff>164006</xdr:rowOff>
    </xdr:from>
    <xdr:to>
      <xdr:col>9</xdr:col>
      <xdr:colOff>259861</xdr:colOff>
      <xdr:row>15</xdr:row>
      <xdr:rowOff>161926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2599" y="1106981"/>
          <a:ext cx="2650637" cy="1807670"/>
        </a:xfrm>
        <a:prstGeom prst="rect">
          <a:avLst/>
        </a:prstGeom>
      </xdr:spPr>
    </xdr:pic>
    <xdr:clientData/>
  </xdr:twoCellAnchor>
  <xdr:twoCellAnchor>
    <xdr:from>
      <xdr:col>7</xdr:col>
      <xdr:colOff>271463</xdr:colOff>
      <xdr:row>5</xdr:row>
      <xdr:rowOff>166688</xdr:rowOff>
    </xdr:from>
    <xdr:to>
      <xdr:col>8</xdr:col>
      <xdr:colOff>304801</xdr:colOff>
      <xdr:row>7</xdr:row>
      <xdr:rowOff>47625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929438" y="1109663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119.5</a:t>
          </a:r>
        </a:p>
      </xdr:txBody>
    </xdr:sp>
    <xdr:clientData/>
  </xdr:twoCellAnchor>
  <xdr:twoCellAnchor>
    <xdr:from>
      <xdr:col>9</xdr:col>
      <xdr:colOff>252412</xdr:colOff>
      <xdr:row>10</xdr:row>
      <xdr:rowOff>128587</xdr:rowOff>
    </xdr:from>
    <xdr:to>
      <xdr:col>10</xdr:col>
      <xdr:colOff>285750</xdr:colOff>
      <xdr:row>12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8205787" y="19764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71</a:t>
          </a:r>
        </a:p>
      </xdr:txBody>
    </xdr:sp>
    <xdr:clientData/>
  </xdr:twoCellAnchor>
  <xdr:twoCellAnchor>
    <xdr:from>
      <xdr:col>7</xdr:col>
      <xdr:colOff>576262</xdr:colOff>
      <xdr:row>10</xdr:row>
      <xdr:rowOff>38099</xdr:rowOff>
    </xdr:from>
    <xdr:to>
      <xdr:col>8</xdr:col>
      <xdr:colOff>376238</xdr:colOff>
      <xdr:row>11</xdr:row>
      <xdr:rowOff>100011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7234237" y="1885949"/>
          <a:ext cx="447676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28575</xdr:colOff>
      <xdr:row>10</xdr:row>
      <xdr:rowOff>23813</xdr:rowOff>
    </xdr:from>
    <xdr:to>
      <xdr:col>6</xdr:col>
      <xdr:colOff>490538</xdr:colOff>
      <xdr:row>11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6038850" y="1871663"/>
          <a:ext cx="46196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276225</xdr:colOff>
      <xdr:row>8</xdr:row>
      <xdr:rowOff>90488</xdr:rowOff>
    </xdr:from>
    <xdr:to>
      <xdr:col>8</xdr:col>
      <xdr:colOff>219075</xdr:colOff>
      <xdr:row>9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934200" y="1576388"/>
          <a:ext cx="590550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35.5</a:t>
          </a:r>
        </a:p>
      </xdr:txBody>
    </xdr:sp>
    <xdr:clientData/>
  </xdr:twoCellAnchor>
  <xdr:twoCellAnchor>
    <xdr:from>
      <xdr:col>7</xdr:col>
      <xdr:colOff>214312</xdr:colOff>
      <xdr:row>12</xdr:row>
      <xdr:rowOff>95250</xdr:rowOff>
    </xdr:from>
    <xdr:to>
      <xdr:col>8</xdr:col>
      <xdr:colOff>214313</xdr:colOff>
      <xdr:row>13</xdr:row>
      <xdr:rowOff>157162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872287" y="2305050"/>
          <a:ext cx="647701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35.5</a:t>
          </a:r>
        </a:p>
      </xdr:txBody>
    </xdr:sp>
    <xdr:clientData/>
  </xdr:twoCellAnchor>
  <xdr:twoCellAnchor>
    <xdr:from>
      <xdr:col>7</xdr:col>
      <xdr:colOff>285750</xdr:colOff>
      <xdr:row>16</xdr:row>
      <xdr:rowOff>109537</xdr:rowOff>
    </xdr:from>
    <xdr:to>
      <xdr:col>8</xdr:col>
      <xdr:colOff>319088</xdr:colOff>
      <xdr:row>16</xdr:row>
      <xdr:rowOff>352424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6943725" y="30432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71</a:t>
          </a:r>
        </a:p>
      </xdr:txBody>
    </xdr:sp>
    <xdr:clientData/>
  </xdr:twoCellAnchor>
  <xdr:twoCellAnchor>
    <xdr:from>
      <xdr:col>8</xdr:col>
      <xdr:colOff>381000</xdr:colOff>
      <xdr:row>20</xdr:row>
      <xdr:rowOff>57150</xdr:rowOff>
    </xdr:from>
    <xdr:to>
      <xdr:col>9</xdr:col>
      <xdr:colOff>414338</xdr:colOff>
      <xdr:row>21</xdr:row>
      <xdr:rowOff>119062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7686675" y="4167188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119.5</a:t>
          </a:r>
        </a:p>
      </xdr:txBody>
    </xdr:sp>
    <xdr:clientData/>
  </xdr:twoCellAnchor>
  <xdr:twoCellAnchor>
    <xdr:from>
      <xdr:col>7</xdr:col>
      <xdr:colOff>228600</xdr:colOff>
      <xdr:row>17</xdr:row>
      <xdr:rowOff>42862</xdr:rowOff>
    </xdr:from>
    <xdr:to>
      <xdr:col>8</xdr:col>
      <xdr:colOff>261938</xdr:colOff>
      <xdr:row>18</xdr:row>
      <xdr:rowOff>104774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6886575" y="36099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238126</xdr:colOff>
      <xdr:row>19</xdr:row>
      <xdr:rowOff>138111</xdr:rowOff>
    </xdr:from>
    <xdr:to>
      <xdr:col>8</xdr:col>
      <xdr:colOff>271464</xdr:colOff>
      <xdr:row>21</xdr:row>
      <xdr:rowOff>19048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6896101" y="4067174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35.5</a:t>
          </a:r>
        </a:p>
      </xdr:txBody>
    </xdr:sp>
    <xdr:clientData/>
  </xdr:twoCellAnchor>
  <xdr:twoCellAnchor>
    <xdr:from>
      <xdr:col>7</xdr:col>
      <xdr:colOff>190501</xdr:colOff>
      <xdr:row>23</xdr:row>
      <xdr:rowOff>57149</xdr:rowOff>
    </xdr:from>
    <xdr:to>
      <xdr:col>8</xdr:col>
      <xdr:colOff>223839</xdr:colOff>
      <xdr:row>24</xdr:row>
      <xdr:rowOff>119061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6848476" y="4710112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138113</xdr:colOff>
      <xdr:row>19</xdr:row>
      <xdr:rowOff>138112</xdr:rowOff>
    </xdr:from>
    <xdr:to>
      <xdr:col>7</xdr:col>
      <xdr:colOff>171451</xdr:colOff>
      <xdr:row>21</xdr:row>
      <xdr:rowOff>19049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6148388" y="40671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35.5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623888</xdr:colOff>
      <xdr:row>16</xdr:row>
      <xdr:rowOff>172833</xdr:rowOff>
    </xdr:from>
    <xdr:to>
      <xdr:col>8</xdr:col>
      <xdr:colOff>352816</xdr:colOff>
      <xdr:row>26</xdr:row>
      <xdr:rowOff>395288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6463" y="3106533"/>
          <a:ext cx="1672028" cy="2484643"/>
        </a:xfrm>
        <a:prstGeom prst="rect">
          <a:avLst/>
        </a:prstGeom>
      </xdr:spPr>
    </xdr:pic>
    <xdr:clientData/>
  </xdr:twoCellAnchor>
  <xdr:twoCellAnchor editAs="oneCell">
    <xdr:from>
      <xdr:col>5</xdr:col>
      <xdr:colOff>200024</xdr:colOff>
      <xdr:row>5</xdr:row>
      <xdr:rowOff>164006</xdr:rowOff>
    </xdr:from>
    <xdr:to>
      <xdr:col>9</xdr:col>
      <xdr:colOff>259861</xdr:colOff>
      <xdr:row>15</xdr:row>
      <xdr:rowOff>161926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2599" y="1106981"/>
          <a:ext cx="2650637" cy="1807670"/>
        </a:xfrm>
        <a:prstGeom prst="rect">
          <a:avLst/>
        </a:prstGeom>
      </xdr:spPr>
    </xdr:pic>
    <xdr:clientData/>
  </xdr:twoCellAnchor>
  <xdr:twoCellAnchor>
    <xdr:from>
      <xdr:col>7</xdr:col>
      <xdr:colOff>271463</xdr:colOff>
      <xdr:row>5</xdr:row>
      <xdr:rowOff>166688</xdr:rowOff>
    </xdr:from>
    <xdr:to>
      <xdr:col>8</xdr:col>
      <xdr:colOff>304801</xdr:colOff>
      <xdr:row>7</xdr:row>
      <xdr:rowOff>47625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929438" y="1109663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119.5</a:t>
          </a:r>
        </a:p>
      </xdr:txBody>
    </xdr:sp>
    <xdr:clientData/>
  </xdr:twoCellAnchor>
  <xdr:twoCellAnchor>
    <xdr:from>
      <xdr:col>9</xdr:col>
      <xdr:colOff>252412</xdr:colOff>
      <xdr:row>10</xdr:row>
      <xdr:rowOff>128587</xdr:rowOff>
    </xdr:from>
    <xdr:to>
      <xdr:col>10</xdr:col>
      <xdr:colOff>285750</xdr:colOff>
      <xdr:row>12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8205787" y="19764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95.5</a:t>
          </a:r>
        </a:p>
      </xdr:txBody>
    </xdr:sp>
    <xdr:clientData/>
  </xdr:twoCellAnchor>
  <xdr:twoCellAnchor>
    <xdr:from>
      <xdr:col>7</xdr:col>
      <xdr:colOff>576262</xdr:colOff>
      <xdr:row>10</xdr:row>
      <xdr:rowOff>38099</xdr:rowOff>
    </xdr:from>
    <xdr:to>
      <xdr:col>8</xdr:col>
      <xdr:colOff>376238</xdr:colOff>
      <xdr:row>11</xdr:row>
      <xdr:rowOff>100011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7234237" y="1885949"/>
          <a:ext cx="447676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28575</xdr:colOff>
      <xdr:row>10</xdr:row>
      <xdr:rowOff>23813</xdr:rowOff>
    </xdr:from>
    <xdr:to>
      <xdr:col>6</xdr:col>
      <xdr:colOff>490538</xdr:colOff>
      <xdr:row>11</xdr:row>
      <xdr:rowOff>85725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6038850" y="1871663"/>
          <a:ext cx="461963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276225</xdr:colOff>
      <xdr:row>8</xdr:row>
      <xdr:rowOff>90488</xdr:rowOff>
    </xdr:from>
    <xdr:to>
      <xdr:col>8</xdr:col>
      <xdr:colOff>219075</xdr:colOff>
      <xdr:row>9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6934200" y="1576388"/>
          <a:ext cx="590550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  <xdr:twoCellAnchor>
    <xdr:from>
      <xdr:col>7</xdr:col>
      <xdr:colOff>214312</xdr:colOff>
      <xdr:row>12</xdr:row>
      <xdr:rowOff>95250</xdr:rowOff>
    </xdr:from>
    <xdr:to>
      <xdr:col>8</xdr:col>
      <xdr:colOff>214313</xdr:colOff>
      <xdr:row>13</xdr:row>
      <xdr:rowOff>157162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6872287" y="2305050"/>
          <a:ext cx="647701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  <xdr:twoCellAnchor>
    <xdr:from>
      <xdr:col>7</xdr:col>
      <xdr:colOff>285750</xdr:colOff>
      <xdr:row>16</xdr:row>
      <xdr:rowOff>109537</xdr:rowOff>
    </xdr:from>
    <xdr:to>
      <xdr:col>8</xdr:col>
      <xdr:colOff>319088</xdr:colOff>
      <xdr:row>16</xdr:row>
      <xdr:rowOff>352424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6943725" y="3043237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95.5</a:t>
          </a:r>
        </a:p>
      </xdr:txBody>
    </xdr:sp>
    <xdr:clientData/>
  </xdr:twoCellAnchor>
  <xdr:twoCellAnchor>
    <xdr:from>
      <xdr:col>8</xdr:col>
      <xdr:colOff>381000</xdr:colOff>
      <xdr:row>20</xdr:row>
      <xdr:rowOff>57150</xdr:rowOff>
    </xdr:from>
    <xdr:to>
      <xdr:col>9</xdr:col>
      <xdr:colOff>414338</xdr:colOff>
      <xdr:row>21</xdr:row>
      <xdr:rowOff>119062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7686675" y="4167188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119.5</a:t>
          </a:r>
        </a:p>
      </xdr:txBody>
    </xdr:sp>
    <xdr:clientData/>
  </xdr:twoCellAnchor>
  <xdr:twoCellAnchor>
    <xdr:from>
      <xdr:col>7</xdr:col>
      <xdr:colOff>228600</xdr:colOff>
      <xdr:row>17</xdr:row>
      <xdr:rowOff>42862</xdr:rowOff>
    </xdr:from>
    <xdr:to>
      <xdr:col>8</xdr:col>
      <xdr:colOff>261938</xdr:colOff>
      <xdr:row>18</xdr:row>
      <xdr:rowOff>104774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886575" y="36099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7</xdr:col>
      <xdr:colOff>238126</xdr:colOff>
      <xdr:row>19</xdr:row>
      <xdr:rowOff>138111</xdr:rowOff>
    </xdr:from>
    <xdr:to>
      <xdr:col>8</xdr:col>
      <xdr:colOff>271464</xdr:colOff>
      <xdr:row>21</xdr:row>
      <xdr:rowOff>19048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6896101" y="4067174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  <xdr:twoCellAnchor>
    <xdr:from>
      <xdr:col>7</xdr:col>
      <xdr:colOff>190501</xdr:colOff>
      <xdr:row>23</xdr:row>
      <xdr:rowOff>57149</xdr:rowOff>
    </xdr:from>
    <xdr:to>
      <xdr:col>8</xdr:col>
      <xdr:colOff>223839</xdr:colOff>
      <xdr:row>24</xdr:row>
      <xdr:rowOff>119061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6848476" y="4710112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58.5</a:t>
          </a:r>
        </a:p>
      </xdr:txBody>
    </xdr:sp>
    <xdr:clientData/>
  </xdr:twoCellAnchor>
  <xdr:twoCellAnchor>
    <xdr:from>
      <xdr:col>6</xdr:col>
      <xdr:colOff>138113</xdr:colOff>
      <xdr:row>19</xdr:row>
      <xdr:rowOff>138112</xdr:rowOff>
    </xdr:from>
    <xdr:to>
      <xdr:col>7</xdr:col>
      <xdr:colOff>171451</xdr:colOff>
      <xdr:row>21</xdr:row>
      <xdr:rowOff>19049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8388" y="4067175"/>
          <a:ext cx="681038" cy="2428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46.75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4064000</xdr:colOff>
      <xdr:row>1</xdr:row>
      <xdr:rowOff>4064000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80975"/>
          <a:ext cx="4064000" cy="4064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4064000</xdr:colOff>
      <xdr:row>2</xdr:row>
      <xdr:rowOff>4064000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4276725"/>
          <a:ext cx="4064000" cy="4064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4064000</xdr:colOff>
      <xdr:row>3</xdr:row>
      <xdr:rowOff>4064000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813" y="8374063"/>
          <a:ext cx="4064000" cy="4064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4064000</xdr:colOff>
      <xdr:row>4</xdr:row>
      <xdr:rowOff>4064000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813" y="12485688"/>
          <a:ext cx="4064000" cy="4064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</xdr:colOff>
      <xdr:row>1</xdr:row>
      <xdr:rowOff>14288</xdr:rowOff>
    </xdr:from>
    <xdr:to>
      <xdr:col>1</xdr:col>
      <xdr:colOff>1578748</xdr:colOff>
      <xdr:row>1</xdr:row>
      <xdr:rowOff>1547813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287" y="195263"/>
          <a:ext cx="1564461" cy="1533525"/>
        </a:xfrm>
        <a:prstGeom prst="rect">
          <a:avLst/>
        </a:prstGeom>
      </xdr:spPr>
    </xdr:pic>
    <xdr:clientData/>
  </xdr:twoCellAnchor>
  <xdr:twoCellAnchor editAs="oneCell">
    <xdr:from>
      <xdr:col>1</xdr:col>
      <xdr:colOff>42865</xdr:colOff>
      <xdr:row>3</xdr:row>
      <xdr:rowOff>23814</xdr:rowOff>
    </xdr:from>
    <xdr:to>
      <xdr:col>1</xdr:col>
      <xdr:colOff>1557339</xdr:colOff>
      <xdr:row>3</xdr:row>
      <xdr:rowOff>1525003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6865" y="3348039"/>
          <a:ext cx="1514474" cy="1501189"/>
        </a:xfrm>
        <a:prstGeom prst="rect">
          <a:avLst/>
        </a:prstGeom>
      </xdr:spPr>
    </xdr:pic>
    <xdr:clientData/>
  </xdr:twoCellAnchor>
  <xdr:twoCellAnchor editAs="oneCell">
    <xdr:from>
      <xdr:col>1</xdr:col>
      <xdr:colOff>23814</xdr:colOff>
      <xdr:row>4</xdr:row>
      <xdr:rowOff>9525</xdr:rowOff>
    </xdr:from>
    <xdr:to>
      <xdr:col>1</xdr:col>
      <xdr:colOff>1571625</xdr:colOff>
      <xdr:row>4</xdr:row>
      <xdr:rowOff>1566180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4" y="4905375"/>
          <a:ext cx="1547811" cy="155665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2</xdr:row>
      <xdr:rowOff>14287</xdr:rowOff>
    </xdr:from>
    <xdr:to>
      <xdr:col>1</xdr:col>
      <xdr:colOff>1552575</xdr:colOff>
      <xdr:row>2</xdr:row>
      <xdr:rowOff>1582530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1" y="1766887"/>
          <a:ext cx="1514474" cy="15682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Z114"/>
  <sheetViews>
    <sheetView tabSelected="1" zoomScaleNormal="100" workbookViewId="0">
      <selection activeCell="L4" sqref="L4"/>
    </sheetView>
  </sheetViews>
  <sheetFormatPr defaultRowHeight="14.25" x14ac:dyDescent="0.45"/>
  <cols>
    <col min="1" max="1" width="0.86328125" customWidth="1"/>
    <col min="2" max="2" width="8.86328125" customWidth="1"/>
    <col min="3" max="3" width="17.73046875" customWidth="1"/>
    <col min="4" max="4" width="7" customWidth="1"/>
    <col min="5" max="5" width="1.265625" customWidth="1"/>
    <col min="6" max="6" width="14.3984375" customWidth="1"/>
    <col min="7" max="7" width="11.59765625" customWidth="1"/>
    <col min="8" max="8" width="1.86328125" customWidth="1"/>
    <col min="9" max="9" width="1.1328125" customWidth="1"/>
    <col min="10" max="10" width="12.86328125" customWidth="1"/>
    <col min="11" max="11" width="11.3984375" customWidth="1"/>
    <col min="12" max="12" width="18.59765625" customWidth="1"/>
    <col min="13" max="13" width="2.3984375" customWidth="1"/>
    <col min="16" max="16" width="14" customWidth="1"/>
    <col min="17" max="17" width="54" customWidth="1"/>
    <col min="18" max="18" width="2.59765625" style="1" customWidth="1"/>
  </cols>
  <sheetData>
    <row r="1" spans="2:25" ht="25.5" x14ac:dyDescent="0.75">
      <c r="F1" s="59" t="str">
        <f>CompanyName</f>
        <v xml:space="preserve"> Globex Corporation</v>
      </c>
    </row>
    <row r="2" spans="2:25" ht="25.5" x14ac:dyDescent="0.75">
      <c r="F2" s="78" t="str">
        <f>"PO: " &amp; """"&amp;Jobname&amp;""""</f>
        <v>PO: "Joanna"</v>
      </c>
    </row>
    <row r="3" spans="2:25" ht="25.5" x14ac:dyDescent="0.75">
      <c r="F3" s="61" t="str">
        <f>FloorColor</f>
        <v>Biscuit</v>
      </c>
    </row>
    <row r="4" spans="2:25" ht="21" x14ac:dyDescent="0.65">
      <c r="F4" s="62" t="str">
        <f>OverallDimension_Label &amp; ", Water Dams: " &amp; WaterDams</f>
        <v>80" x 32" Shower Base, Water Dams: 3</v>
      </c>
    </row>
    <row r="5" spans="2:25" ht="15.75" x14ac:dyDescent="0.5">
      <c r="F5" s="63" t="str">
        <f>ShipTo</f>
        <v>Main - 1234 Main Dr, IL</v>
      </c>
    </row>
    <row r="6" spans="2:25" ht="28.9" customHeight="1" thickBot="1" x14ac:dyDescent="0.5"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</row>
    <row r="7" spans="2:25" ht="9.75" customHeight="1" x14ac:dyDescent="0.45"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</row>
    <row r="8" spans="2:25" ht="28.15" customHeight="1" x14ac:dyDescent="0.85">
      <c r="B8" s="141" t="str">
        <f>Priority</f>
        <v/>
      </c>
      <c r="C8" s="141"/>
      <c r="D8" s="141"/>
      <c r="E8" s="142" t="str">
        <f>Notes</f>
        <v xml:space="preserve"> </v>
      </c>
      <c r="F8" s="142"/>
      <c r="G8" s="142"/>
      <c r="H8" s="142"/>
      <c r="I8" s="142"/>
      <c r="J8" s="142"/>
      <c r="K8" s="142"/>
      <c r="L8" s="142"/>
    </row>
    <row r="9" spans="2:25" ht="31.15" customHeight="1" thickBot="1" x14ac:dyDescent="0.9">
      <c r="B9" s="38" t="str">
        <f>CompanyName</f>
        <v xml:space="preserve"> Globex Corporation</v>
      </c>
      <c r="C9" s="29"/>
      <c r="D9" s="29"/>
      <c r="E9" s="29"/>
      <c r="F9" s="39" t="str">
        <f>Jobname</f>
        <v>Joanna</v>
      </c>
      <c r="G9" s="29"/>
      <c r="H9" s="27"/>
      <c r="I9" s="27"/>
      <c r="J9" s="140" t="str">
        <f>Date</f>
        <v xml:space="preserve"> 08/08/2020</v>
      </c>
      <c r="K9" s="140"/>
      <c r="L9" s="26">
        <f>Y108</f>
        <v>114.75755044156864</v>
      </c>
    </row>
    <row r="10" spans="2:25" ht="15" customHeight="1" thickTop="1" x14ac:dyDescent="0.45">
      <c r="B10" s="24" t="s">
        <v>85</v>
      </c>
      <c r="E10" s="2"/>
      <c r="F10" s="40" t="s">
        <v>86</v>
      </c>
      <c r="H10" s="25"/>
      <c r="I10" s="25"/>
      <c r="J10" s="24" t="s">
        <v>103</v>
      </c>
    </row>
    <row r="11" spans="2:25" ht="15" customHeight="1" thickBot="1" x14ac:dyDescent="0.5">
      <c r="C11" s="24"/>
      <c r="E11" s="2"/>
      <c r="H11" s="25"/>
      <c r="I11" s="25"/>
      <c r="J11" s="44"/>
      <c r="K11" s="44"/>
    </row>
    <row r="12" spans="2:25" ht="15" customHeight="1" thickBot="1" x14ac:dyDescent="0.5">
      <c r="B12" s="95" t="s">
        <v>83</v>
      </c>
      <c r="C12" s="96" t="s">
        <v>39</v>
      </c>
      <c r="D12" s="96" t="s">
        <v>69</v>
      </c>
      <c r="E12" s="97"/>
      <c r="F12" s="98" t="s">
        <v>179</v>
      </c>
      <c r="G12" s="99" t="s">
        <v>182</v>
      </c>
      <c r="H12" s="100"/>
      <c r="I12" s="100"/>
      <c r="J12" s="96"/>
      <c r="K12" s="100"/>
      <c r="L12" s="101" t="s">
        <v>180</v>
      </c>
      <c r="M12" s="102"/>
    </row>
    <row r="13" spans="2:25" ht="15" customHeight="1" x14ac:dyDescent="0.45">
      <c r="B13" t="str">
        <f>'Tub Replacement (New)'!C5</f>
        <v>New</v>
      </c>
      <c r="C13" t="str">
        <f>'Tub Replacement (New)'!C3</f>
        <v>Tub Replacement</v>
      </c>
      <c r="D13" s="22" t="str">
        <f>IF('Tub Replacement (New)'!B2="Current Showerbase Fits", "Yes", "No")</f>
        <v>No</v>
      </c>
      <c r="E13" s="79"/>
      <c r="F13" s="81" t="s">
        <v>88</v>
      </c>
      <c r="G13" s="80" t="str">
        <f>IF(Layout="Base Only", BoxWidth_noThresh, IF(ThresholdFits="Yes", BoxWidth_withThresh, BoxWidth_noThresh))</f>
        <v>Normal</v>
      </c>
      <c r="H13" s="88" t="s">
        <v>178</v>
      </c>
      <c r="I13" s="44"/>
      <c r="L13" s="79" t="str">
        <f>"A: " &amp; DimensionA &amp; """"</f>
        <v>A: 76"</v>
      </c>
      <c r="M13" s="44"/>
    </row>
    <row r="14" spans="2:25" ht="15" customHeight="1" x14ac:dyDescent="0.45">
      <c r="B14" t="str">
        <f>'Medium (New)'!C5</f>
        <v>New</v>
      </c>
      <c r="C14" t="str">
        <f>'Medium (New)'!C3</f>
        <v>Medium Offset</v>
      </c>
      <c r="D14" s="22" t="str">
        <f>IF('Medium (New)'!B2="Current Showerbase Fits", "Yes", "No")</f>
        <v>No</v>
      </c>
      <c r="E14" s="79"/>
      <c r="F14" s="81" t="s">
        <v>87</v>
      </c>
      <c r="G14" s="80">
        <f>IF(Layout="Base Only", BoxLength_noThresh, IF(ThresholdFits="Yes", BoxLength_withThresh, BoxLength_noThresh))</f>
        <v>84</v>
      </c>
      <c r="H14" s="56"/>
      <c r="I14" s="44"/>
      <c r="K14" s="108"/>
      <c r="L14" s="44" t="str">
        <f>"B: " &amp; DimensionB &amp; """"</f>
        <v>B: 28"</v>
      </c>
      <c r="M14" s="44"/>
      <c r="N14" s="44"/>
      <c r="P14" s="30"/>
      <c r="Q14" s="30"/>
    </row>
    <row r="15" spans="2:25" ht="15" customHeight="1" x14ac:dyDescent="0.45">
      <c r="B15" t="str">
        <f>'Giant (New)'!C5</f>
        <v>New</v>
      </c>
      <c r="C15" t="str">
        <f>'Giant (New)'!C3</f>
        <v>Giant</v>
      </c>
      <c r="D15" s="107" t="str">
        <f>IF('Giant (New)'!B2="Current Showerbase Fits", "Yes", "No")</f>
        <v>Yes</v>
      </c>
      <c r="E15" s="79"/>
      <c r="F15" s="34" t="s">
        <v>183</v>
      </c>
      <c r="G15" s="134">
        <f>ThresholdHeight</f>
        <v>4</v>
      </c>
      <c r="H15" s="88" t="s">
        <v>190</v>
      </c>
      <c r="I15" s="44"/>
      <c r="J15" s="44"/>
      <c r="K15" s="108"/>
      <c r="L15" s="44" t="str">
        <f>"C: " &amp; DimensionC &amp; """"</f>
        <v>C: 38"</v>
      </c>
      <c r="M15" s="44"/>
      <c r="N15" s="44"/>
      <c r="P15" s="31"/>
      <c r="Q15" s="30"/>
    </row>
    <row r="16" spans="2:25" ht="14.25" customHeight="1" x14ac:dyDescent="0.45">
      <c r="D16" s="107"/>
      <c r="E16" s="93"/>
      <c r="F16" s="45" t="s">
        <v>181</v>
      </c>
      <c r="G16" s="57" t="str">
        <f>IF(AND(Layout="Single Threshold", DimensionA&lt;&gt;ThresholdDimA), ThresholdDimA &amp; """" &amp; " - Pack separately if easier", "")</f>
        <v/>
      </c>
      <c r="H16" s="41"/>
      <c r="I16" s="41"/>
      <c r="J16" s="41"/>
      <c r="K16" s="94"/>
      <c r="L16" s="44" t="str">
        <f>"D: " &amp; DimensionD &amp; """"</f>
        <v>D: 14"</v>
      </c>
      <c r="M16" s="44"/>
      <c r="N16" s="44"/>
      <c r="P16" s="30"/>
      <c r="Q16" s="30"/>
      <c r="T16" s="7" t="s">
        <v>1</v>
      </c>
      <c r="X16" s="3" t="s">
        <v>2</v>
      </c>
      <c r="Y16" s="3" t="s">
        <v>3</v>
      </c>
    </row>
    <row r="17" spans="2:26" x14ac:dyDescent="0.45">
      <c r="B17" t="str">
        <f>'Small (Old)'!C5</f>
        <v>Old</v>
      </c>
      <c r="C17" t="str">
        <f>'Small (Old)'!C3</f>
        <v>Small</v>
      </c>
      <c r="D17" s="22" t="str">
        <f>IF('Small (Old)'!B2="Current Showerbase Fits", "Yes", "No")</f>
        <v>Yes</v>
      </c>
      <c r="E17" s="79"/>
      <c r="F17" s="7" t="s">
        <v>184</v>
      </c>
      <c r="G17" s="135" t="str">
        <f>UPPER(IF(Layout="Base Only", "No Threshold", Layout &amp; " - " &amp; ThresholdStyle))</f>
        <v>DOUBLE THRESHOLD - CUSTOM</v>
      </c>
      <c r="H17" s="106"/>
      <c r="I17" s="106"/>
      <c r="J17" s="106"/>
      <c r="L17" s="90" t="str">
        <f>IF(Layout="Base Only", "", "Overall Length: " &amp; OverallLength)</f>
        <v>Overall Length: 80</v>
      </c>
      <c r="M17" s="44"/>
      <c r="N17" s="44"/>
      <c r="P17" s="30"/>
      <c r="Q17" s="30"/>
      <c r="T17" s="4" t="s">
        <v>0</v>
      </c>
      <c r="U17" s="8">
        <f>IF(DimensionA&gt;=BufferLevel, DimensionA+LgExpansionBuffer,DimensionA+SmExpansionBuffer)</f>
        <v>79</v>
      </c>
      <c r="W17" s="9" t="s">
        <v>5</v>
      </c>
      <c r="X17" s="10">
        <f>DimensionC_Expanded</f>
        <v>39.5</v>
      </c>
      <c r="Y17" s="10">
        <f>DimensionD_Expanded</f>
        <v>15</v>
      </c>
      <c r="Z17" t="str">
        <f>"A:" &amp; DimensionA_Expanded</f>
        <v>A:79</v>
      </c>
    </row>
    <row r="18" spans="2:26" ht="15" customHeight="1" x14ac:dyDescent="0.45">
      <c r="B18" t="str">
        <f>'Medium (Old)'!C5</f>
        <v>Old</v>
      </c>
      <c r="C18" t="str">
        <f>'Medium (Old)'!C3</f>
        <v>Medium</v>
      </c>
      <c r="D18" s="22" t="str">
        <f>IF('Medium (Old)'!B2="Current Showerbase Fits", "Yes", "No")</f>
        <v>Yes</v>
      </c>
      <c r="E18" s="79"/>
      <c r="F18" s="34" t="s">
        <v>185</v>
      </c>
      <c r="G18" s="22" t="str">
        <f>ThresholdMatchOrDifferent</f>
        <v>Match Base</v>
      </c>
      <c r="H18" s="44"/>
      <c r="I18" s="44"/>
      <c r="J18" s="81"/>
      <c r="L18" s="90" t="str">
        <f>IF(Layout="Base Only", "", "Overall Width: " &amp; OverallWidth)</f>
        <v>Overall Width: 32</v>
      </c>
      <c r="M18" s="44"/>
      <c r="T18" s="4" t="s">
        <v>4</v>
      </c>
      <c r="U18" s="8">
        <f>IF(DimensionB&gt;=BufferLevel, DimensionB+LgExpansionBuffer,DimensionB+SmExpansionBuffer)</f>
        <v>30</v>
      </c>
      <c r="W18" s="9" t="s">
        <v>8</v>
      </c>
      <c r="X18" s="10">
        <f>DimensionC_Expanded</f>
        <v>39.5</v>
      </c>
      <c r="Y18" s="10">
        <f>DimensionB_Expanded-DimensionD_Expanded</f>
        <v>15</v>
      </c>
      <c r="Z18" t="str">
        <f>"B: " &amp; DimensionB_Expanded</f>
        <v>B: 30</v>
      </c>
    </row>
    <row r="19" spans="2:26" ht="15" customHeight="1" x14ac:dyDescent="0.45">
      <c r="B19" s="41" t="str">
        <f>'Giant (Old)'!C5</f>
        <v>Old</v>
      </c>
      <c r="C19" s="41" t="str">
        <f>'Giant (Old)'!C3</f>
        <v>Giant</v>
      </c>
      <c r="D19" s="92" t="str">
        <f>IF('Giant (Old)'!B2="Current Showerbase Fits", "Yes", "No")</f>
        <v>Yes</v>
      </c>
      <c r="E19" s="79"/>
      <c r="F19" s="34" t="s">
        <v>92</v>
      </c>
      <c r="G19" s="81">
        <f>WaterDams</f>
        <v>3</v>
      </c>
      <c r="H19" s="44"/>
      <c r="I19" s="44"/>
      <c r="J19" s="44"/>
      <c r="K19" s="108"/>
      <c r="L19" s="90"/>
      <c r="M19" s="44"/>
      <c r="T19" s="4" t="s">
        <v>6</v>
      </c>
      <c r="U19" s="8">
        <f>IF(DimensionA&gt;=BufferLevel, DimensionC+(LgExpansionBuffer/2),DimensionC+(SmExpansionBuffer/2))</f>
        <v>39.5</v>
      </c>
      <c r="W19" s="9" t="s">
        <v>10</v>
      </c>
      <c r="X19" s="10">
        <f>DimensionA_Expanded-DimensionC_Expanded</f>
        <v>39.5</v>
      </c>
      <c r="Y19" s="10">
        <f>DimensionB_Expanded-DimensionD_Expanded</f>
        <v>15</v>
      </c>
      <c r="Z19" t="str">
        <f>"C: " &amp;DimensionC_Expanded</f>
        <v>C: 39.5</v>
      </c>
    </row>
    <row r="20" spans="2:26" ht="15" customHeight="1" x14ac:dyDescent="0.45">
      <c r="E20" s="93"/>
      <c r="F20" s="45" t="s">
        <v>189</v>
      </c>
      <c r="G20" s="109">
        <f>Adhesive</f>
        <v>2</v>
      </c>
      <c r="H20" s="41"/>
      <c r="I20" s="41"/>
      <c r="J20" s="41"/>
      <c r="K20" s="94"/>
      <c r="L20" s="110"/>
      <c r="T20" s="4" t="s">
        <v>9</v>
      </c>
      <c r="U20" s="8">
        <f>IF(DimensionB&gt;=BufferLevel, DimensionD+(LgExpansionBuffer/2),DimensionD+(SmExpansionBuffer/2))</f>
        <v>15</v>
      </c>
      <c r="W20" s="9" t="s">
        <v>11</v>
      </c>
      <c r="X20" s="10">
        <f>DimensionA_Expanded-DimensionC_Expanded</f>
        <v>39.5</v>
      </c>
      <c r="Y20" s="10">
        <f>DimensionD_Expanded</f>
        <v>15</v>
      </c>
      <c r="Z20" t="str">
        <f>"D: " &amp; DimensionD_Expanded</f>
        <v>D: 15</v>
      </c>
    </row>
    <row r="21" spans="2:26" ht="24.4" customHeight="1" x14ac:dyDescent="0.65">
      <c r="F21" s="11"/>
      <c r="G21" s="12"/>
      <c r="H21" s="12"/>
      <c r="I21" s="12"/>
      <c r="L21" s="89"/>
    </row>
    <row r="22" spans="2:26" ht="15" customHeight="1" x14ac:dyDescent="0.65">
      <c r="L22" s="91"/>
      <c r="U22" s="8">
        <f>DimensionA_Expanded-DimensionC_Expanded</f>
        <v>39.5</v>
      </c>
      <c r="V22" t="s">
        <v>71</v>
      </c>
    </row>
    <row r="23" spans="2:26" ht="15" customHeight="1" x14ac:dyDescent="0.45">
      <c r="L23" s="93"/>
      <c r="U23" s="8">
        <f>DimensionB_Expanded-DimensionD_Expanded</f>
        <v>15</v>
      </c>
      <c r="V23" t="s">
        <v>70</v>
      </c>
    </row>
    <row r="24" spans="2:26" ht="15.75" x14ac:dyDescent="0.5">
      <c r="L24" s="82"/>
    </row>
    <row r="25" spans="2:26" ht="14.25" customHeight="1" x14ac:dyDescent="0.45">
      <c r="L25" s="83"/>
    </row>
    <row r="26" spans="2:26" ht="14.25" customHeight="1" x14ac:dyDescent="0.45">
      <c r="L26" s="83"/>
    </row>
    <row r="27" spans="2:26" ht="14.25" customHeight="1" x14ac:dyDescent="0.45">
      <c r="L27" s="105"/>
      <c r="N27" s="7"/>
    </row>
    <row r="28" spans="2:26" ht="14.25" customHeight="1" x14ac:dyDescent="0.45"/>
    <row r="29" spans="2:26" ht="18" x14ac:dyDescent="0.55000000000000004">
      <c r="W29" s="13" t="s">
        <v>12</v>
      </c>
    </row>
    <row r="30" spans="2:26" x14ac:dyDescent="0.45">
      <c r="L30" s="44"/>
      <c r="X30" s="14" t="s">
        <v>13</v>
      </c>
      <c r="Y30" s="5">
        <v>0.5</v>
      </c>
    </row>
    <row r="31" spans="2:26" ht="14.25" customHeight="1" x14ac:dyDescent="0.5">
      <c r="L31" s="82"/>
      <c r="X31" s="6" t="s">
        <v>14</v>
      </c>
      <c r="Y31" s="5">
        <v>0.25</v>
      </c>
    </row>
    <row r="32" spans="2:26" ht="14.25" customHeight="1" x14ac:dyDescent="0.45">
      <c r="L32" s="85"/>
      <c r="X32" s="6" t="s">
        <v>15</v>
      </c>
      <c r="Y32" s="5">
        <v>89</v>
      </c>
      <c r="Z32" t="s">
        <v>16</v>
      </c>
    </row>
    <row r="33" spans="2:26" ht="14.25" customHeight="1" x14ac:dyDescent="0.45">
      <c r="L33" s="85"/>
    </row>
    <row r="34" spans="2:26" ht="14.25" customHeight="1" x14ac:dyDescent="0.45">
      <c r="L34" s="85"/>
      <c r="X34" s="15" t="s">
        <v>17</v>
      </c>
      <c r="Y34" s="5">
        <v>2</v>
      </c>
    </row>
    <row r="35" spans="2:26" ht="23.25" customHeight="1" x14ac:dyDescent="0.45">
      <c r="L35" s="85"/>
      <c r="M35" s="6"/>
      <c r="X35" s="15" t="s">
        <v>18</v>
      </c>
      <c r="Y35" s="5">
        <v>3</v>
      </c>
    </row>
    <row r="36" spans="2:26" x14ac:dyDescent="0.45">
      <c r="L36" s="44"/>
    </row>
    <row r="37" spans="2:26" ht="14.25" customHeight="1" x14ac:dyDescent="0.5">
      <c r="L37" s="87"/>
      <c r="X37" s="15" t="s">
        <v>19</v>
      </c>
      <c r="Y37" s="5">
        <v>50</v>
      </c>
      <c r="Z37" t="s">
        <v>20</v>
      </c>
    </row>
    <row r="38" spans="2:26" ht="14.25" customHeight="1" x14ac:dyDescent="0.5">
      <c r="L38" s="87"/>
      <c r="O38" s="7"/>
    </row>
    <row r="39" spans="2:26" ht="14.25" customHeight="1" x14ac:dyDescent="0.45">
      <c r="L39" s="86"/>
    </row>
    <row r="40" spans="2:26" ht="18" customHeight="1" x14ac:dyDescent="0.55000000000000004">
      <c r="L40" s="86"/>
      <c r="V40" s="13" t="s">
        <v>21</v>
      </c>
    </row>
    <row r="41" spans="2:26" ht="14.25" customHeight="1" x14ac:dyDescent="0.45">
      <c r="L41" s="86"/>
      <c r="P41" s="28"/>
    </row>
    <row r="42" spans="2:26" x14ac:dyDescent="0.45">
      <c r="W42" s="6" t="s">
        <v>22</v>
      </c>
      <c r="X42" s="8">
        <f>Q1_LegH</f>
        <v>39.5</v>
      </c>
    </row>
    <row r="43" spans="2:26" x14ac:dyDescent="0.45">
      <c r="G43" s="22"/>
      <c r="H43" s="22"/>
      <c r="I43" s="22"/>
      <c r="W43" s="6" t="s">
        <v>23</v>
      </c>
      <c r="X43" s="8">
        <f>Q1_LegV</f>
        <v>15</v>
      </c>
    </row>
    <row r="44" spans="2:26" ht="4.1500000000000004" customHeight="1" x14ac:dyDescent="0.45">
      <c r="W44" s="6"/>
    </row>
    <row r="45" spans="2:26" ht="21.95" customHeight="1" x14ac:dyDescent="0.45">
      <c r="D45" s="84"/>
      <c r="E45" s="84"/>
      <c r="F45" s="84"/>
      <c r="G45" s="84"/>
      <c r="H45" s="84"/>
      <c r="I45" s="84"/>
      <c r="J45" s="84"/>
      <c r="W45" s="6" t="s">
        <v>24</v>
      </c>
      <c r="X45" s="8">
        <f>X42*X43</f>
        <v>592.5</v>
      </c>
    </row>
    <row r="46" spans="2:26" ht="28.5" x14ac:dyDescent="0.85">
      <c r="B46" s="143" t="s">
        <v>147</v>
      </c>
      <c r="C46" s="143"/>
      <c r="D46" s="143"/>
      <c r="E46" s="143"/>
      <c r="F46" s="143"/>
      <c r="G46" s="139"/>
      <c r="H46" s="139"/>
      <c r="I46" s="139"/>
      <c r="J46" s="139"/>
      <c r="K46" s="139"/>
      <c r="L46" s="139"/>
      <c r="W46" s="6" t="s">
        <v>25</v>
      </c>
      <c r="X46" s="8">
        <f>SQRT((X42*X42) + (X43*X43))</f>
        <v>42.252218876645991</v>
      </c>
    </row>
    <row r="47" spans="2:26" ht="26.65" customHeight="1" x14ac:dyDescent="0.45">
      <c r="W47" s="15" t="s">
        <v>26</v>
      </c>
      <c r="X47" s="8">
        <f>X46/2</f>
        <v>21.126109438322995</v>
      </c>
    </row>
    <row r="48" spans="2:26" x14ac:dyDescent="0.45">
      <c r="W48" s="15" t="s">
        <v>27</v>
      </c>
      <c r="X48" s="8">
        <f>X47/12</f>
        <v>1.7605091198602496</v>
      </c>
    </row>
    <row r="49" spans="3:26" x14ac:dyDescent="0.45">
      <c r="W49" s="15" t="s">
        <v>28</v>
      </c>
      <c r="X49" s="8">
        <f>X48*Slope</f>
        <v>0.4401272799650624</v>
      </c>
      <c r="Y49" t="s">
        <v>29</v>
      </c>
    </row>
    <row r="50" spans="3:26" x14ac:dyDescent="0.45">
      <c r="V50" s="7"/>
      <c r="W50" s="16" t="s">
        <v>30</v>
      </c>
      <c r="X50" s="17">
        <f>X49+Minimum_Thickness</f>
        <v>0.9401272799650624</v>
      </c>
    </row>
    <row r="52" spans="3:26" x14ac:dyDescent="0.45">
      <c r="W52" s="4" t="s">
        <v>31</v>
      </c>
      <c r="X52" s="8">
        <f>(X50*X45)/1728</f>
        <v>0.32235266977968718</v>
      </c>
      <c r="Y52" s="18">
        <f>X52*MatrixWeight</f>
        <v>28.68938761039216</v>
      </c>
      <c r="Z52" t="s">
        <v>32</v>
      </c>
    </row>
    <row r="58" spans="3:26" ht="23.25" x14ac:dyDescent="0.7">
      <c r="F58" s="60"/>
      <c r="V58" s="13" t="s">
        <v>33</v>
      </c>
    </row>
    <row r="60" spans="3:26" ht="18.399999999999999" thickBot="1" x14ac:dyDescent="0.6">
      <c r="C60" s="35" t="s">
        <v>96</v>
      </c>
      <c r="D60" s="35"/>
      <c r="E60" s="35"/>
      <c r="F60" s="35"/>
      <c r="G60" s="44"/>
      <c r="W60" s="6" t="s">
        <v>22</v>
      </c>
      <c r="X60" s="8">
        <f>Q2_LegH</f>
        <v>39.5</v>
      </c>
    </row>
    <row r="61" spans="3:26" x14ac:dyDescent="0.45">
      <c r="C61" s="112" t="s">
        <v>89</v>
      </c>
      <c r="D61" s="113"/>
      <c r="E61" s="113"/>
      <c r="F61" s="114" t="str">
        <f>Export!B1</f>
        <v>Shower Base (Companion)</v>
      </c>
      <c r="G61" s="115"/>
      <c r="W61" s="6" t="s">
        <v>23</v>
      </c>
      <c r="X61" s="8">
        <f>Q2_LegV</f>
        <v>15</v>
      </c>
    </row>
    <row r="62" spans="3:26" x14ac:dyDescent="0.45">
      <c r="C62" s="116" t="s">
        <v>90</v>
      </c>
      <c r="D62" s="34"/>
      <c r="E62" s="34"/>
      <c r="F62" s="56" t="str">
        <f>Export!B2</f>
        <v>Joanna</v>
      </c>
      <c r="G62" s="117"/>
      <c r="W62" s="6"/>
    </row>
    <row r="63" spans="3:26" x14ac:dyDescent="0.45">
      <c r="C63" s="116" t="s">
        <v>104</v>
      </c>
      <c r="D63" s="34"/>
      <c r="E63" s="34"/>
      <c r="F63" s="56" t="str">
        <f>Export!B3</f>
        <v>Double Threshold</v>
      </c>
      <c r="G63" s="117"/>
      <c r="W63" s="6" t="s">
        <v>24</v>
      </c>
      <c r="X63" s="8">
        <f>X60*X61</f>
        <v>592.5</v>
      </c>
    </row>
    <row r="64" spans="3:26" x14ac:dyDescent="0.45">
      <c r="C64" s="116" t="s">
        <v>105</v>
      </c>
      <c r="D64" s="34"/>
      <c r="E64" s="34"/>
      <c r="F64" s="56" t="str">
        <f>Export!B4</f>
        <v>Biscuit</v>
      </c>
      <c r="G64" s="117"/>
      <c r="W64" s="6" t="s">
        <v>25</v>
      </c>
      <c r="X64" s="8">
        <f>SQRT((X60*X60) + (X61*X61))</f>
        <v>42.252218876645991</v>
      </c>
    </row>
    <row r="65" spans="3:26" x14ac:dyDescent="0.45">
      <c r="C65" s="118" t="s">
        <v>106</v>
      </c>
      <c r="D65" s="44"/>
      <c r="E65" s="44"/>
      <c r="F65" s="56" t="str">
        <f>Export!B5</f>
        <v>80x32</v>
      </c>
      <c r="G65" s="117"/>
      <c r="W65" s="15" t="s">
        <v>26</v>
      </c>
      <c r="X65" s="8">
        <f>X64/2</f>
        <v>21.126109438322995</v>
      </c>
    </row>
    <row r="66" spans="3:26" x14ac:dyDescent="0.45">
      <c r="C66" s="116" t="s">
        <v>121</v>
      </c>
      <c r="D66" s="44"/>
      <c r="E66" s="44"/>
      <c r="F66" s="56">
        <f>Export!B6</f>
        <v>76</v>
      </c>
      <c r="G66" s="117"/>
      <c r="W66" s="15" t="s">
        <v>27</v>
      </c>
      <c r="X66" s="8">
        <f>X65/12</f>
        <v>1.7605091198602496</v>
      </c>
    </row>
    <row r="67" spans="3:26" x14ac:dyDescent="0.45">
      <c r="C67" s="116" t="s">
        <v>122</v>
      </c>
      <c r="D67" s="44"/>
      <c r="E67" s="44"/>
      <c r="F67" s="56">
        <f>Export!B7</f>
        <v>28</v>
      </c>
      <c r="G67" s="117"/>
      <c r="W67" s="15" t="s">
        <v>28</v>
      </c>
      <c r="X67" s="8">
        <f>X66*Slope</f>
        <v>0.4401272799650624</v>
      </c>
      <c r="Y67" t="s">
        <v>29</v>
      </c>
    </row>
    <row r="68" spans="3:26" x14ac:dyDescent="0.45">
      <c r="C68" s="116" t="s">
        <v>123</v>
      </c>
      <c r="D68" s="44"/>
      <c r="E68" s="44"/>
      <c r="F68" s="56">
        <f>Export!B8</f>
        <v>38</v>
      </c>
      <c r="G68" s="117"/>
      <c r="W68" s="16" t="s">
        <v>30</v>
      </c>
      <c r="X68" s="17">
        <f>X67+Minimum_Thickness</f>
        <v>0.9401272799650624</v>
      </c>
    </row>
    <row r="69" spans="3:26" x14ac:dyDescent="0.45">
      <c r="C69" s="116" t="s">
        <v>124</v>
      </c>
      <c r="D69" s="44"/>
      <c r="E69" s="44"/>
      <c r="F69" s="56">
        <f>Export!B9</f>
        <v>14</v>
      </c>
      <c r="G69" s="117"/>
    </row>
    <row r="70" spans="3:26" x14ac:dyDescent="0.45">
      <c r="C70" s="118" t="s">
        <v>91</v>
      </c>
      <c r="D70" s="44"/>
      <c r="E70" s="44"/>
      <c r="F70" s="56">
        <f>Export!B10</f>
        <v>10.563000000000001</v>
      </c>
      <c r="G70" s="117"/>
      <c r="W70" s="4" t="s">
        <v>31</v>
      </c>
      <c r="X70" s="8">
        <f>(X68*X63)/1728</f>
        <v>0.32235266977968718</v>
      </c>
      <c r="Y70" s="18">
        <f>X70*MatrixWeight</f>
        <v>28.68938761039216</v>
      </c>
      <c r="Z70" t="s">
        <v>32</v>
      </c>
    </row>
    <row r="71" spans="3:26" x14ac:dyDescent="0.45">
      <c r="C71" s="118" t="s">
        <v>148</v>
      </c>
      <c r="D71" s="44"/>
      <c r="E71" s="44"/>
      <c r="F71" s="56" t="str">
        <f>Export!B11</f>
        <v>Preattach Water Dams To Base</v>
      </c>
      <c r="G71" s="117"/>
      <c r="W71" s="15"/>
    </row>
    <row r="72" spans="3:26" x14ac:dyDescent="0.45">
      <c r="C72" s="118" t="s">
        <v>107</v>
      </c>
      <c r="D72" s="44"/>
      <c r="E72" s="44"/>
      <c r="F72" s="56" t="str">
        <f>Export!B12</f>
        <v>Biscuit</v>
      </c>
      <c r="G72" s="117"/>
      <c r="V72" s="7"/>
    </row>
    <row r="73" spans="3:26" x14ac:dyDescent="0.45">
      <c r="C73" s="118" t="s">
        <v>108</v>
      </c>
      <c r="D73" s="44"/>
      <c r="E73" s="44"/>
      <c r="F73" s="56" t="str">
        <f>Export!B13</f>
        <v>Custom</v>
      </c>
      <c r="G73" s="117"/>
    </row>
    <row r="74" spans="3:26" x14ac:dyDescent="0.45">
      <c r="C74" s="118" t="s">
        <v>109</v>
      </c>
      <c r="D74" s="44"/>
      <c r="E74" s="44"/>
      <c r="F74" s="56">
        <f>Export!B14</f>
        <v>4</v>
      </c>
      <c r="G74" s="117"/>
    </row>
    <row r="75" spans="3:26" x14ac:dyDescent="0.45">
      <c r="C75" s="118" t="s">
        <v>110</v>
      </c>
      <c r="D75" s="44"/>
      <c r="E75" s="44"/>
      <c r="F75" s="56">
        <f>Export!B15</f>
        <v>4</v>
      </c>
      <c r="G75" s="117"/>
    </row>
    <row r="76" spans="3:26" x14ac:dyDescent="0.45">
      <c r="C76" s="118" t="s">
        <v>111</v>
      </c>
      <c r="D76" s="44"/>
      <c r="E76" s="44"/>
      <c r="F76" s="56">
        <f>Export!B16</f>
        <v>4</v>
      </c>
      <c r="G76" s="117"/>
    </row>
    <row r="77" spans="3:26" ht="18" x14ac:dyDescent="0.55000000000000004">
      <c r="C77" s="118" t="s">
        <v>112</v>
      </c>
      <c r="D77" s="44"/>
      <c r="E77" s="44"/>
      <c r="F77" s="56">
        <f>Export!B17</f>
        <v>80</v>
      </c>
      <c r="G77" s="117"/>
      <c r="V77" s="13" t="s">
        <v>34</v>
      </c>
    </row>
    <row r="78" spans="3:26" x14ac:dyDescent="0.45">
      <c r="C78" s="118" t="s">
        <v>113</v>
      </c>
      <c r="D78" s="34"/>
      <c r="E78" s="34"/>
      <c r="F78" s="56">
        <f>Export!B18</f>
        <v>32</v>
      </c>
      <c r="G78" s="121"/>
    </row>
    <row r="79" spans="3:26" x14ac:dyDescent="0.45">
      <c r="C79" s="118" t="s">
        <v>114</v>
      </c>
      <c r="D79" s="44"/>
      <c r="E79" s="44"/>
      <c r="F79" s="56" t="str">
        <f>Export!B19</f>
        <v>n/a</v>
      </c>
      <c r="G79" s="117"/>
      <c r="W79" s="6" t="s">
        <v>22</v>
      </c>
      <c r="X79" s="8">
        <f>Q3_LegH</f>
        <v>39.5</v>
      </c>
    </row>
    <row r="80" spans="3:26" x14ac:dyDescent="0.45">
      <c r="C80" s="118" t="s">
        <v>115</v>
      </c>
      <c r="D80" s="44"/>
      <c r="E80" s="44"/>
      <c r="F80" s="56" t="str">
        <f>Export!B20</f>
        <v>n/a</v>
      </c>
      <c r="G80" s="117"/>
      <c r="W80" s="6" t="s">
        <v>23</v>
      </c>
      <c r="X80" s="8">
        <f>Q3_LegV</f>
        <v>15</v>
      </c>
    </row>
    <row r="81" spans="3:26" x14ac:dyDescent="0.45">
      <c r="C81" s="118" t="s">
        <v>116</v>
      </c>
      <c r="D81" s="44"/>
      <c r="E81" s="44"/>
      <c r="F81" s="56" t="str">
        <f>Export!B21</f>
        <v>n/a</v>
      </c>
      <c r="G81" s="117"/>
      <c r="W81" s="6"/>
    </row>
    <row r="82" spans="3:26" x14ac:dyDescent="0.45">
      <c r="C82" s="119" t="s">
        <v>194</v>
      </c>
      <c r="D82" s="41"/>
      <c r="E82" s="41"/>
      <c r="F82" s="57">
        <f>IF(Export!B22&lt;&gt;"n/a", Export!B22, "")</f>
        <v>2</v>
      </c>
      <c r="G82" s="120"/>
      <c r="W82" s="6" t="s">
        <v>24</v>
      </c>
      <c r="X82" s="8">
        <f>X79*X80</f>
        <v>592.5</v>
      </c>
    </row>
    <row r="83" spans="3:26" x14ac:dyDescent="0.45">
      <c r="C83" s="116" t="s">
        <v>93</v>
      </c>
      <c r="D83" s="34"/>
      <c r="E83" s="34"/>
      <c r="F83" s="56" t="str">
        <f>Export!B23</f>
        <v>Main - 1234 Main Dr, IL</v>
      </c>
      <c r="G83" s="117"/>
      <c r="W83" s="6" t="s">
        <v>25</v>
      </c>
      <c r="X83" s="8">
        <f>SQRT((X79*X79) + (X80*X80))</f>
        <v>42.252218876645991</v>
      </c>
    </row>
    <row r="84" spans="3:26" x14ac:dyDescent="0.45">
      <c r="C84" s="116" t="s">
        <v>94</v>
      </c>
      <c r="D84" s="34"/>
      <c r="E84" s="34"/>
      <c r="F84" s="58" t="str">
        <f>Export!B24</f>
        <v xml:space="preserve"> 08/08/2020</v>
      </c>
      <c r="G84" s="117"/>
      <c r="W84" s="15" t="s">
        <v>26</v>
      </c>
      <c r="X84" s="8">
        <f>X83/2</f>
        <v>21.126109438322995</v>
      </c>
    </row>
    <row r="85" spans="3:26" x14ac:dyDescent="0.45">
      <c r="C85" s="116" t="s">
        <v>97</v>
      </c>
      <c r="D85" s="34"/>
      <c r="E85" s="34"/>
      <c r="F85" s="56" t="str">
        <f>Export!B25</f>
        <v xml:space="preserve"> Globex Corporation</v>
      </c>
      <c r="G85" s="117"/>
      <c r="W85" s="15" t="s">
        <v>27</v>
      </c>
      <c r="X85" s="8">
        <f>X84/12</f>
        <v>1.7605091198602496</v>
      </c>
    </row>
    <row r="86" spans="3:26" x14ac:dyDescent="0.45">
      <c r="C86" s="118" t="s">
        <v>139</v>
      </c>
      <c r="D86" s="34"/>
      <c r="E86" s="34"/>
      <c r="F86" s="44" t="str">
        <f>IF(Export!B26="n/a","",Export!B26)</f>
        <v/>
      </c>
      <c r="G86" s="117"/>
      <c r="W86" s="15"/>
      <c r="X86" s="8"/>
    </row>
    <row r="87" spans="3:26" ht="14.65" thickBot="1" x14ac:dyDescent="0.5">
      <c r="C87" s="122" t="s">
        <v>140</v>
      </c>
      <c r="D87" s="123"/>
      <c r="E87" s="123"/>
      <c r="F87" s="123" t="str">
        <f>IF(Export!B27="n/a"," ","Note: " &amp; Export!B27)</f>
        <v xml:space="preserve"> </v>
      </c>
      <c r="G87" s="124"/>
      <c r="W87" s="15"/>
      <c r="X87" s="8"/>
    </row>
    <row r="88" spans="3:26" ht="14.65" thickBot="1" x14ac:dyDescent="0.5">
      <c r="W88" s="15" t="s">
        <v>28</v>
      </c>
      <c r="X88" s="8">
        <f>X85*Slope</f>
        <v>0.4401272799650624</v>
      </c>
      <c r="Y88" t="s">
        <v>29</v>
      </c>
    </row>
    <row r="89" spans="3:26" ht="14.65" thickBot="1" x14ac:dyDescent="0.5">
      <c r="C89" s="136" t="s">
        <v>203</v>
      </c>
      <c r="D89" s="137"/>
      <c r="E89" s="137"/>
      <c r="F89" s="138"/>
      <c r="V89" s="7"/>
      <c r="W89" s="16" t="s">
        <v>30</v>
      </c>
      <c r="X89" s="17">
        <f>X88+Minimum_Thickness</f>
        <v>0.9401272799650624</v>
      </c>
    </row>
    <row r="90" spans="3:26" x14ac:dyDescent="0.45">
      <c r="C90" s="116" t="s">
        <v>186</v>
      </c>
      <c r="D90" s="44"/>
      <c r="E90" s="44"/>
      <c r="F90" s="125" t="str">
        <f>IF(ThresholdColor=FloorColor, "Match Base", ThresholdColor)</f>
        <v>Match Base</v>
      </c>
    </row>
    <row r="91" spans="3:26" x14ac:dyDescent="0.45">
      <c r="C91" s="118" t="s">
        <v>200</v>
      </c>
      <c r="D91" s="44"/>
      <c r="E91" s="44"/>
      <c r="F91" s="126">
        <f>IF(AND(ThresholdOutsideLeg&lt;&gt;"n/a",ThresholdInsideLeg&lt;&gt;"n/a"), IF(ThresholdOutsideLeg&gt;ThresholdInsideLeg, ThresholdOutsideLeg, ThresholdInsideLeg), "")</f>
        <v>4</v>
      </c>
      <c r="G91" s="36" t="s">
        <v>201</v>
      </c>
      <c r="I91" s="44"/>
      <c r="W91" s="4" t="s">
        <v>31</v>
      </c>
      <c r="X91" s="8">
        <f>(X89*X82)/1728</f>
        <v>0.32235266977968718</v>
      </c>
      <c r="Y91" s="18">
        <f>X91*MatrixWeight</f>
        <v>28.68938761039216</v>
      </c>
      <c r="Z91" t="s">
        <v>32</v>
      </c>
    </row>
    <row r="92" spans="3:26" x14ac:dyDescent="0.45">
      <c r="C92" s="116" t="s">
        <v>191</v>
      </c>
      <c r="D92" s="34"/>
      <c r="E92" s="34"/>
      <c r="F92" s="126" cm="1">
        <f t="array" ref="F92">_xlfn.IFS(ThresholdStyle="n/a", "NO THRESHOLD", ThresholdStyle="Standard (Solid Surface)", 3, ThresholdStyle="Tall", 4, ThresholdStyle="Standard (Radiance)", 4, ThresholdStyle="Custom",F91)</f>
        <v>4</v>
      </c>
      <c r="G92" s="44"/>
      <c r="I92" s="44"/>
    </row>
    <row r="93" spans="3:26" ht="14.65" thickBot="1" x14ac:dyDescent="0.5">
      <c r="C93" s="127" t="s">
        <v>204</v>
      </c>
      <c r="D93" s="128"/>
      <c r="E93" s="128"/>
      <c r="F93" s="129" t="str">
        <f>IF(ThresholdHeight&lt;4.25, "Yes", "No")</f>
        <v>Yes</v>
      </c>
      <c r="G93" s="44"/>
      <c r="I93" s="44"/>
    </row>
    <row r="94" spans="3:26" ht="18.399999999999999" thickBot="1" x14ac:dyDescent="0.6">
      <c r="I94" s="44"/>
      <c r="V94" s="13" t="s">
        <v>35</v>
      </c>
    </row>
    <row r="95" spans="3:26" ht="14.65" thickBot="1" x14ac:dyDescent="0.5">
      <c r="C95" s="136" t="s">
        <v>205</v>
      </c>
      <c r="D95" s="137"/>
      <c r="E95" s="137"/>
      <c r="F95" s="138"/>
    </row>
    <row r="96" spans="3:26" x14ac:dyDescent="0.45">
      <c r="C96" s="116" t="s">
        <v>197</v>
      </c>
      <c r="D96" s="44"/>
      <c r="E96" s="44"/>
      <c r="F96" s="126">
        <f>IF(OR(Layout="Base Only",Layout="Single Threshold"),DimensionA,DimensionA+ThresholdWidth)</f>
        <v>80</v>
      </c>
      <c r="G96" s="103"/>
      <c r="W96" s="6" t="s">
        <v>22</v>
      </c>
      <c r="X96" s="8">
        <f>Q4_LegH</f>
        <v>39.5</v>
      </c>
    </row>
    <row r="97" spans="3:26" x14ac:dyDescent="0.45">
      <c r="C97" s="116" t="s">
        <v>198</v>
      </c>
      <c r="D97" s="44"/>
      <c r="E97" s="44"/>
      <c r="F97" s="126">
        <f>IF(Layout="Base Only", DimensionB, DimensionB+ThresholdWidth)</f>
        <v>32</v>
      </c>
      <c r="G97" s="104" t="s">
        <v>199</v>
      </c>
      <c r="W97" s="6" t="s">
        <v>23</v>
      </c>
      <c r="X97" s="8">
        <f>Q4_LegV</f>
        <v>15</v>
      </c>
    </row>
    <row r="98" spans="3:26" ht="14.65" thickBot="1" x14ac:dyDescent="0.5">
      <c r="C98" s="127" t="s">
        <v>193</v>
      </c>
      <c r="D98" s="123"/>
      <c r="E98" s="123"/>
      <c r="F98" s="129" t="str">
        <f>OverallLength &amp; """" &amp; " x " &amp;OverallWidth &amp; """" &amp; " Shower Base"</f>
        <v>80" x 32" Shower Base</v>
      </c>
      <c r="H98" s="44"/>
      <c r="W98" s="6"/>
    </row>
    <row r="99" spans="3:26" ht="14.65" thickBot="1" x14ac:dyDescent="0.5">
      <c r="H99" s="44"/>
      <c r="W99" s="6" t="s">
        <v>24</v>
      </c>
      <c r="X99" s="8">
        <f>X96*X97</f>
        <v>592.5</v>
      </c>
    </row>
    <row r="100" spans="3:26" ht="14.65" thickBot="1" x14ac:dyDescent="0.5">
      <c r="C100" s="136" t="s">
        <v>206</v>
      </c>
      <c r="D100" s="137"/>
      <c r="E100" s="137"/>
      <c r="F100" s="138"/>
      <c r="H100" s="44"/>
      <c r="W100" s="6" t="s">
        <v>25</v>
      </c>
      <c r="X100" s="8">
        <f>SQRT((X96*X96) + (X97*X97))</f>
        <v>42.252218876645991</v>
      </c>
    </row>
    <row r="101" spans="3:26" x14ac:dyDescent="0.45">
      <c r="C101" s="118" t="s">
        <v>195</v>
      </c>
      <c r="D101" s="44"/>
      <c r="E101" s="44"/>
      <c r="F101" s="126" t="str" cm="1">
        <f t="array" ref="F101">_xlfn.IFS(OverallWidth&gt;47,OverallWidth+4, OverallWidth&gt;42, "Open 2 Sides", OverallWidth&gt;38, "Open 1 Side", TRUE, "Normal")</f>
        <v>Normal</v>
      </c>
      <c r="H101" s="44"/>
      <c r="W101" s="15" t="s">
        <v>26</v>
      </c>
      <c r="X101" s="8">
        <f>X100/2</f>
        <v>21.126109438322995</v>
      </c>
    </row>
    <row r="102" spans="3:26" x14ac:dyDescent="0.45">
      <c r="C102" s="118" t="s">
        <v>196</v>
      </c>
      <c r="D102" s="44"/>
      <c r="E102" s="44"/>
      <c r="F102" s="126">
        <f>IF(OverallLength &gt; 63, OverallLength+4, "Normal")</f>
        <v>84</v>
      </c>
      <c r="G102" s="111" t="s">
        <v>192</v>
      </c>
      <c r="W102" s="15" t="s">
        <v>27</v>
      </c>
      <c r="X102" s="8">
        <f>X101/12</f>
        <v>1.7605091198602496</v>
      </c>
    </row>
    <row r="103" spans="3:26" x14ac:dyDescent="0.45">
      <c r="C103" s="118" t="s">
        <v>209</v>
      </c>
      <c r="D103" s="44"/>
      <c r="E103" s="44"/>
      <c r="F103" s="126" t="str" cm="1">
        <f t="array" ref="F103">_xlfn.IFS(DimensionB&gt;47,DimensionB+3, DimensionB&gt;42,"Open 2 Sides",DimensionB&gt;38,"Open 1 Side",TRUE,"Normal")</f>
        <v>Normal</v>
      </c>
      <c r="W103" s="15" t="s">
        <v>28</v>
      </c>
      <c r="X103" s="8">
        <f>X102*Slope</f>
        <v>0.4401272799650624</v>
      </c>
      <c r="Y103" t="s">
        <v>29</v>
      </c>
    </row>
    <row r="104" spans="3:26" ht="14.65" thickBot="1" x14ac:dyDescent="0.5">
      <c r="C104" s="122" t="s">
        <v>210</v>
      </c>
      <c r="D104" s="123"/>
      <c r="E104" s="123"/>
      <c r="F104" s="129">
        <f>IF(DimensionA &gt; 63, DimensionA+3, "Normal")</f>
        <v>79</v>
      </c>
      <c r="G104" s="44"/>
      <c r="V104" s="7"/>
      <c r="W104" s="16" t="s">
        <v>30</v>
      </c>
      <c r="X104" s="17">
        <f>X103+Minimum_Thickness</f>
        <v>0.9401272799650624</v>
      </c>
    </row>
    <row r="105" spans="3:26" ht="14.65" thickBot="1" x14ac:dyDescent="0.5"/>
    <row r="106" spans="3:26" ht="14.65" thickBot="1" x14ac:dyDescent="0.5">
      <c r="C106" s="136" t="s">
        <v>208</v>
      </c>
      <c r="D106" s="137"/>
      <c r="E106" s="137"/>
      <c r="F106" s="138"/>
      <c r="G106" s="44"/>
      <c r="H106" s="44"/>
      <c r="I106" s="44"/>
      <c r="J106" s="44"/>
      <c r="W106" s="4" t="s">
        <v>31</v>
      </c>
      <c r="X106" s="8">
        <f>(X104*X99)/1728</f>
        <v>0.32235266977968718</v>
      </c>
      <c r="Y106" s="18">
        <f>X106*MatrixWeight</f>
        <v>28.68938761039216</v>
      </c>
      <c r="Z106" t="s">
        <v>32</v>
      </c>
    </row>
    <row r="107" spans="3:26" ht="14.65" thickBot="1" x14ac:dyDescent="0.5">
      <c r="C107" s="122" t="s">
        <v>92</v>
      </c>
      <c r="D107" s="123"/>
      <c r="E107" s="123"/>
      <c r="F107" s="129" cm="1">
        <f t="array" ref="F107">_xlfn.IFS(Export!B11="No Water Dams",0, Layout="Base Only",D114, Layout="Single Threshold", D114, TRUE, G114)</f>
        <v>3</v>
      </c>
      <c r="G107" s="44"/>
      <c r="H107" s="44"/>
      <c r="I107" s="44"/>
      <c r="J107" s="44"/>
    </row>
    <row r="108" spans="3:26" x14ac:dyDescent="0.45">
      <c r="D108" s="7"/>
      <c r="E108" s="7"/>
      <c r="X108" s="4" t="s">
        <v>36</v>
      </c>
      <c r="Y108" s="18">
        <f>Q1_Weight+Q2_Weight+Q3_Weight+Q4_Weight</f>
        <v>114.75755044156864</v>
      </c>
    </row>
    <row r="109" spans="3:26" ht="18" x14ac:dyDescent="0.55000000000000004">
      <c r="C109" s="13" t="s">
        <v>129</v>
      </c>
      <c r="D109" s="48"/>
      <c r="E109" s="48"/>
      <c r="F109" s="48"/>
      <c r="G109" s="48"/>
    </row>
    <row r="110" spans="3:26" x14ac:dyDescent="0.45">
      <c r="C110" s="49" t="s">
        <v>128</v>
      </c>
      <c r="D110" s="49" t="s">
        <v>207</v>
      </c>
      <c r="E110" s="49"/>
      <c r="F110" s="50"/>
      <c r="G110" s="49" t="s">
        <v>126</v>
      </c>
    </row>
    <row r="111" spans="3:26" x14ac:dyDescent="0.45">
      <c r="C111" s="48" t="s">
        <v>125</v>
      </c>
      <c r="D111" s="132">
        <f>IF(OverallLength&lt;63, 1, 2)</f>
        <v>2</v>
      </c>
      <c r="E111" s="131"/>
      <c r="F111" s="131"/>
      <c r="G111" s="48">
        <f>IF(OverallLength&lt;63, 1, 2)</f>
        <v>2</v>
      </c>
    </row>
    <row r="112" spans="3:26" x14ac:dyDescent="0.45">
      <c r="C112" s="48" t="s">
        <v>130</v>
      </c>
      <c r="D112" s="132">
        <f>IF(OverallWidth&lt;63, 1, 2)</f>
        <v>1</v>
      </c>
      <c r="E112" s="131"/>
      <c r="F112" s="131"/>
      <c r="G112" s="48">
        <f>IF(OverallWidth&lt;63, 1, 2)</f>
        <v>1</v>
      </c>
    </row>
    <row r="113" spans="3:7" x14ac:dyDescent="0.45">
      <c r="C113" s="50" t="s">
        <v>131</v>
      </c>
      <c r="D113" s="133">
        <f>IF(OverallWidth&lt;63, 1, 2)</f>
        <v>1</v>
      </c>
      <c r="E113" s="50"/>
      <c r="F113" s="50"/>
      <c r="G113" s="50"/>
    </row>
    <row r="114" spans="3:7" x14ac:dyDescent="0.45">
      <c r="C114" s="51" t="s">
        <v>127</v>
      </c>
      <c r="D114" s="130">
        <f>SUM(D111:D113)</f>
        <v>4</v>
      </c>
      <c r="E114" s="130"/>
      <c r="F114" s="131"/>
      <c r="G114" s="51">
        <f>SUM(G111:G113)</f>
        <v>3</v>
      </c>
    </row>
  </sheetData>
  <mergeCells count="5">
    <mergeCell ref="G46:L46"/>
    <mergeCell ref="J9:K9"/>
    <mergeCell ref="B8:D8"/>
    <mergeCell ref="E8:L8"/>
    <mergeCell ref="B46:F46"/>
  </mergeCells>
  <conditionalFormatting sqref="F51:F52 D13:D19">
    <cfRule type="cellIs" dxfId="12" priority="32" operator="equal">
      <formula>"Yes"</formula>
    </cfRule>
  </conditionalFormatting>
  <conditionalFormatting sqref="L9">
    <cfRule type="cellIs" dxfId="11" priority="30" operator="greaterThanOrEqual">
      <formula>220</formula>
    </cfRule>
    <cfRule type="cellIs" dxfId="10" priority="31" operator="greaterThanOrEqual">
      <formula>170</formula>
    </cfRule>
  </conditionalFormatting>
  <conditionalFormatting sqref="G14">
    <cfRule type="cellIs" dxfId="9" priority="27" operator="notEqual">
      <formula>"Normal"</formula>
    </cfRule>
  </conditionalFormatting>
  <conditionalFormatting sqref="G13">
    <cfRule type="cellIs" dxfId="8" priority="26" operator="notEqual">
      <formula>"Normal"</formula>
    </cfRule>
  </conditionalFormatting>
  <conditionalFormatting sqref="B46">
    <cfRule type="expression" dxfId="7" priority="21">
      <formula>(WaterDamAttach="Preattach Water Dams To Base")</formula>
    </cfRule>
  </conditionalFormatting>
  <conditionalFormatting sqref="G17">
    <cfRule type="cellIs" dxfId="6" priority="8" operator="equal">
      <formula>"Neo-Angle Threshold"</formula>
    </cfRule>
    <cfRule type="cellIs" dxfId="5" priority="9" operator="equal">
      <formula>"Double Threshold"</formula>
    </cfRule>
  </conditionalFormatting>
  <conditionalFormatting sqref="H13">
    <cfRule type="expression" dxfId="4" priority="43">
      <formula>ISNUMBER(G13)</formula>
    </cfRule>
    <cfRule type="expression" dxfId="3" priority="44">
      <formula>ISNUMBER(G14)</formula>
    </cfRule>
  </conditionalFormatting>
  <conditionalFormatting sqref="G15">
    <cfRule type="cellIs" dxfId="2" priority="6" operator="greaterThan">
      <formula>4</formula>
    </cfRule>
  </conditionalFormatting>
  <conditionalFormatting sqref="H15">
    <cfRule type="expression" dxfId="1" priority="45">
      <formula>AND(G15&gt;=4.25, ISNUMBER(G15))</formula>
    </cfRule>
  </conditionalFormatting>
  <conditionalFormatting sqref="B8:L8">
    <cfRule type="notContainsBlanks" dxfId="0" priority="1">
      <formula>LEN(TRIM(B8))&gt;0</formula>
    </cfRule>
  </conditionalFormatting>
  <pageMargins left="0.25" right="0.25" top="0.25" bottom="0" header="0.25" footer="0"/>
  <pageSetup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4" r:id="rId4" name="Button 80">
              <controlPr defaultSize="0" print="0" autoFill="0" autoPict="0" macro="[0]!Sheet1.MattTest">
                <anchor moveWithCells="1" sizeWithCells="1">
                  <from>
                    <xdr:col>13</xdr:col>
                    <xdr:colOff>133350</xdr:colOff>
                    <xdr:row>10</xdr:row>
                    <xdr:rowOff>9525</xdr:rowOff>
                  </from>
                  <to>
                    <xdr:col>16</xdr:col>
                    <xdr:colOff>704850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5" name="Button 439">
              <controlPr defaultSize="0" print="0" autoFill="0" autoPict="0" macro="[0]!Sheet1.resizePictures">
                <anchor moveWithCells="1" sizeWithCells="1">
                  <from>
                    <xdr:col>13</xdr:col>
                    <xdr:colOff>123825</xdr:colOff>
                    <xdr:row>17</xdr:row>
                    <xdr:rowOff>142875</xdr:rowOff>
                  </from>
                  <to>
                    <xdr:col>15</xdr:col>
                    <xdr:colOff>971550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I59"/>
  <sheetViews>
    <sheetView zoomScale="120" zoomScaleNormal="120" workbookViewId="0">
      <selection activeCell="B13" sqref="B13"/>
    </sheetView>
  </sheetViews>
  <sheetFormatPr defaultRowHeight="14.25" x14ac:dyDescent="0.45"/>
  <cols>
    <col min="1" max="1" width="34.59765625" customWidth="1"/>
    <col min="2" max="2" width="43.3984375" customWidth="1"/>
    <col min="3" max="3" width="43.3984375" style="71" customWidth="1"/>
  </cols>
  <sheetData>
    <row r="1" spans="1:9" ht="21" x14ac:dyDescent="0.65">
      <c r="A1" s="32" t="s">
        <v>89</v>
      </c>
      <c r="B1" s="52" t="s">
        <v>120</v>
      </c>
      <c r="C1" s="66" t="s">
        <v>120</v>
      </c>
      <c r="D1" s="36" t="s">
        <v>98</v>
      </c>
    </row>
    <row r="2" spans="1:9" ht="21" x14ac:dyDescent="0.65">
      <c r="A2" s="32" t="s">
        <v>90</v>
      </c>
      <c r="B2" s="53" t="s">
        <v>146</v>
      </c>
      <c r="C2" s="67" t="s">
        <v>150</v>
      </c>
    </row>
    <row r="3" spans="1:9" ht="21" x14ac:dyDescent="0.65">
      <c r="A3" s="32" t="s">
        <v>104</v>
      </c>
      <c r="B3" s="53" t="s">
        <v>176</v>
      </c>
      <c r="C3" s="67" t="s">
        <v>151</v>
      </c>
      <c r="D3" s="47" t="s">
        <v>119</v>
      </c>
    </row>
    <row r="4" spans="1:9" ht="21" x14ac:dyDescent="0.65">
      <c r="A4" s="32" t="s">
        <v>105</v>
      </c>
      <c r="B4" s="53" t="s">
        <v>37</v>
      </c>
      <c r="C4" s="67" t="s">
        <v>152</v>
      </c>
    </row>
    <row r="5" spans="1:9" ht="21" x14ac:dyDescent="0.65">
      <c r="A5" s="32" t="s">
        <v>106</v>
      </c>
      <c r="B5" s="53" t="s">
        <v>211</v>
      </c>
      <c r="C5" s="67" t="s">
        <v>153</v>
      </c>
      <c r="D5" s="36" t="s">
        <v>118</v>
      </c>
    </row>
    <row r="6" spans="1:9" ht="21" x14ac:dyDescent="0.65">
      <c r="A6" s="32" t="s">
        <v>144</v>
      </c>
      <c r="B6" s="53">
        <v>76</v>
      </c>
      <c r="C6" s="67" t="s">
        <v>154</v>
      </c>
    </row>
    <row r="7" spans="1:9" ht="21" x14ac:dyDescent="0.65">
      <c r="A7" s="32" t="s">
        <v>145</v>
      </c>
      <c r="B7" s="53">
        <v>28</v>
      </c>
      <c r="C7" s="67" t="s">
        <v>155</v>
      </c>
    </row>
    <row r="8" spans="1:9" ht="21" x14ac:dyDescent="0.65">
      <c r="A8" s="32" t="s">
        <v>123</v>
      </c>
      <c r="B8" s="53">
        <v>38</v>
      </c>
      <c r="C8" s="67" t="s">
        <v>156</v>
      </c>
    </row>
    <row r="9" spans="1:9" ht="21" x14ac:dyDescent="0.65">
      <c r="A9" s="32" t="s">
        <v>124</v>
      </c>
      <c r="B9" s="53">
        <v>14</v>
      </c>
      <c r="C9" s="67" t="s">
        <v>157</v>
      </c>
    </row>
    <row r="10" spans="1:9" ht="21" x14ac:dyDescent="0.65">
      <c r="A10" s="32" t="s">
        <v>91</v>
      </c>
      <c r="B10" s="53">
        <v>10.563000000000001</v>
      </c>
      <c r="C10" s="67" t="s">
        <v>158</v>
      </c>
    </row>
    <row r="11" spans="1:9" ht="21" x14ac:dyDescent="0.65">
      <c r="A11" s="33" t="s">
        <v>92</v>
      </c>
      <c r="B11" s="64" t="s">
        <v>212</v>
      </c>
      <c r="C11" s="68" t="s">
        <v>159</v>
      </c>
      <c r="D11" s="46" t="s">
        <v>132</v>
      </c>
      <c r="E11" s="41"/>
      <c r="F11" s="41"/>
      <c r="G11" s="41"/>
      <c r="H11" s="41"/>
      <c r="I11" s="41"/>
    </row>
    <row r="12" spans="1:9" ht="21" x14ac:dyDescent="0.65">
      <c r="A12" s="32" t="s">
        <v>107</v>
      </c>
      <c r="B12" s="53" t="s">
        <v>37</v>
      </c>
      <c r="C12" s="67" t="s">
        <v>160</v>
      </c>
    </row>
    <row r="13" spans="1:9" ht="21" x14ac:dyDescent="0.65">
      <c r="A13" s="32" t="s">
        <v>108</v>
      </c>
      <c r="B13" s="53" t="s">
        <v>187</v>
      </c>
      <c r="C13" s="67" t="s">
        <v>161</v>
      </c>
    </row>
    <row r="14" spans="1:9" ht="21" x14ac:dyDescent="0.65">
      <c r="A14" s="32" t="s">
        <v>109</v>
      </c>
      <c r="B14" s="53">
        <v>4</v>
      </c>
      <c r="C14" s="67" t="s">
        <v>162</v>
      </c>
    </row>
    <row r="15" spans="1:9" ht="21" x14ac:dyDescent="0.65">
      <c r="A15" s="32" t="s">
        <v>110</v>
      </c>
      <c r="B15" s="53">
        <v>4</v>
      </c>
      <c r="C15" s="67" t="s">
        <v>163</v>
      </c>
      <c r="D15" s="36" t="s">
        <v>141</v>
      </c>
    </row>
    <row r="16" spans="1:9" ht="21" x14ac:dyDescent="0.65">
      <c r="A16" s="32" t="s">
        <v>111</v>
      </c>
      <c r="B16" s="53">
        <v>4</v>
      </c>
      <c r="C16" s="67" t="s">
        <v>164</v>
      </c>
      <c r="D16" s="36" t="s">
        <v>141</v>
      </c>
    </row>
    <row r="17" spans="1:8" ht="21" x14ac:dyDescent="0.65">
      <c r="A17" s="32" t="s">
        <v>112</v>
      </c>
      <c r="B17" s="53">
        <v>80</v>
      </c>
      <c r="C17" s="67" t="s">
        <v>165</v>
      </c>
    </row>
    <row r="18" spans="1:8" ht="21" x14ac:dyDescent="0.65">
      <c r="A18" s="32" t="s">
        <v>113</v>
      </c>
      <c r="B18" s="53">
        <v>32</v>
      </c>
      <c r="C18" s="67" t="s">
        <v>166</v>
      </c>
      <c r="D18" s="36" t="s">
        <v>142</v>
      </c>
    </row>
    <row r="19" spans="1:8" ht="21" x14ac:dyDescent="0.65">
      <c r="A19" s="32" t="s">
        <v>114</v>
      </c>
      <c r="B19" s="53" t="s">
        <v>134</v>
      </c>
      <c r="C19" s="67" t="s">
        <v>167</v>
      </c>
      <c r="D19" s="36" t="s">
        <v>143</v>
      </c>
    </row>
    <row r="20" spans="1:8" ht="21" x14ac:dyDescent="0.65">
      <c r="A20" s="32" t="s">
        <v>115</v>
      </c>
      <c r="B20" s="53" t="s">
        <v>134</v>
      </c>
      <c r="C20" s="67" t="s">
        <v>168</v>
      </c>
      <c r="D20" s="36" t="s">
        <v>143</v>
      </c>
    </row>
    <row r="21" spans="1:8" ht="21" x14ac:dyDescent="0.65">
      <c r="A21" s="43" t="s">
        <v>116</v>
      </c>
      <c r="B21" s="55" t="s">
        <v>134</v>
      </c>
      <c r="C21" s="72" t="s">
        <v>169</v>
      </c>
      <c r="D21" s="104" t="s">
        <v>117</v>
      </c>
      <c r="E21" s="44"/>
      <c r="F21" s="44"/>
      <c r="G21" s="44"/>
      <c r="H21" s="44"/>
    </row>
    <row r="22" spans="1:8" ht="21" x14ac:dyDescent="0.65">
      <c r="A22" s="33" t="s">
        <v>189</v>
      </c>
      <c r="B22" s="54">
        <v>2</v>
      </c>
      <c r="C22" s="69" t="s">
        <v>202</v>
      </c>
      <c r="D22" s="42"/>
      <c r="E22" s="44"/>
      <c r="F22" s="44"/>
      <c r="G22" s="44"/>
      <c r="H22" s="44"/>
    </row>
    <row r="23" spans="1:8" ht="21" x14ac:dyDescent="0.65">
      <c r="A23" s="43" t="s">
        <v>93</v>
      </c>
      <c r="B23" s="55" t="s">
        <v>135</v>
      </c>
      <c r="C23" s="67" t="s">
        <v>170</v>
      </c>
    </row>
    <row r="24" spans="1:8" s="75" customFormat="1" ht="21" x14ac:dyDescent="0.65">
      <c r="A24" s="73" t="s">
        <v>94</v>
      </c>
      <c r="B24" s="65" t="s">
        <v>136</v>
      </c>
      <c r="C24" s="70" t="s">
        <v>171</v>
      </c>
      <c r="D24" s="74" t="s">
        <v>99</v>
      </c>
    </row>
    <row r="25" spans="1:8" ht="21" x14ac:dyDescent="0.65">
      <c r="A25" s="32" t="s">
        <v>95</v>
      </c>
      <c r="B25" s="53" t="s">
        <v>137</v>
      </c>
      <c r="C25" s="67" t="s">
        <v>172</v>
      </c>
    </row>
    <row r="26" spans="1:8" ht="21" x14ac:dyDescent="0.65">
      <c r="A26" s="32" t="s">
        <v>133</v>
      </c>
      <c r="B26" s="53" t="s">
        <v>134</v>
      </c>
      <c r="C26" s="67" t="s">
        <v>173</v>
      </c>
    </row>
    <row r="27" spans="1:8" ht="21" x14ac:dyDescent="0.65">
      <c r="A27" s="32" t="s">
        <v>138</v>
      </c>
      <c r="B27" s="53" t="s">
        <v>134</v>
      </c>
      <c r="C27" s="67" t="s">
        <v>174</v>
      </c>
    </row>
    <row r="29" spans="1:8" x14ac:dyDescent="0.45">
      <c r="A29" t="s">
        <v>100</v>
      </c>
    </row>
    <row r="30" spans="1:8" x14ac:dyDescent="0.45">
      <c r="A30" t="s">
        <v>101</v>
      </c>
    </row>
    <row r="31" spans="1:8" x14ac:dyDescent="0.45">
      <c r="A31" t="s">
        <v>102</v>
      </c>
    </row>
    <row r="34" spans="2:3" ht="21" x14ac:dyDescent="0.65">
      <c r="B34" s="52"/>
      <c r="C34" s="66"/>
    </row>
    <row r="35" spans="2:3" ht="21" x14ac:dyDescent="0.65">
      <c r="B35" s="53"/>
      <c r="C35" s="67"/>
    </row>
    <row r="36" spans="2:3" ht="21" x14ac:dyDescent="0.65">
      <c r="B36" s="53"/>
      <c r="C36" s="67"/>
    </row>
    <row r="37" spans="2:3" ht="21" x14ac:dyDescent="0.65">
      <c r="B37" s="53"/>
      <c r="C37" s="67"/>
    </row>
    <row r="38" spans="2:3" ht="21" x14ac:dyDescent="0.65">
      <c r="B38" s="53"/>
      <c r="C38" s="67"/>
    </row>
    <row r="39" spans="2:3" ht="21" x14ac:dyDescent="0.65">
      <c r="B39" s="53"/>
      <c r="C39" s="67"/>
    </row>
    <row r="40" spans="2:3" ht="21" x14ac:dyDescent="0.65">
      <c r="B40" s="53"/>
      <c r="C40" s="67"/>
    </row>
    <row r="41" spans="2:3" ht="21" x14ac:dyDescent="0.65">
      <c r="B41" s="53"/>
      <c r="C41" s="67"/>
    </row>
    <row r="42" spans="2:3" ht="21" x14ac:dyDescent="0.65">
      <c r="B42" s="53"/>
      <c r="C42" s="67"/>
    </row>
    <row r="43" spans="2:3" ht="21" x14ac:dyDescent="0.65">
      <c r="B43" s="53"/>
      <c r="C43" s="67"/>
    </row>
    <row r="44" spans="2:3" ht="17.25" x14ac:dyDescent="0.45">
      <c r="B44" s="64"/>
      <c r="C44" s="68"/>
    </row>
    <row r="45" spans="2:3" ht="21" x14ac:dyDescent="0.65">
      <c r="B45" s="53"/>
      <c r="C45" s="67"/>
    </row>
    <row r="46" spans="2:3" ht="21" x14ac:dyDescent="0.65">
      <c r="B46" s="53"/>
      <c r="C46" s="67"/>
    </row>
    <row r="47" spans="2:3" ht="21" x14ac:dyDescent="0.65">
      <c r="B47" s="53"/>
      <c r="C47" s="67"/>
    </row>
    <row r="48" spans="2:3" ht="21" x14ac:dyDescent="0.65">
      <c r="B48" s="53"/>
      <c r="C48" s="67"/>
    </row>
    <row r="49" spans="2:3" ht="21" x14ac:dyDescent="0.65">
      <c r="B49" s="53"/>
      <c r="C49" s="67"/>
    </row>
    <row r="50" spans="2:3" ht="21" x14ac:dyDescent="0.65">
      <c r="B50" s="53"/>
      <c r="C50" s="67"/>
    </row>
    <row r="51" spans="2:3" ht="21" x14ac:dyDescent="0.65">
      <c r="B51" s="53"/>
      <c r="C51" s="67"/>
    </row>
    <row r="52" spans="2:3" ht="21" x14ac:dyDescent="0.65">
      <c r="B52" s="53"/>
      <c r="C52" s="67"/>
    </row>
    <row r="53" spans="2:3" ht="21" x14ac:dyDescent="0.65">
      <c r="B53" s="53"/>
      <c r="C53" s="67"/>
    </row>
    <row r="54" spans="2:3" ht="21" x14ac:dyDescent="0.65">
      <c r="B54" s="54"/>
      <c r="C54" s="72"/>
    </row>
    <row r="55" spans="2:3" ht="21" x14ac:dyDescent="0.65">
      <c r="B55" s="53"/>
      <c r="C55" s="67"/>
    </row>
    <row r="56" spans="2:3" ht="21" x14ac:dyDescent="0.65">
      <c r="B56" s="65"/>
      <c r="C56" s="70"/>
    </row>
    <row r="57" spans="2:3" ht="21" x14ac:dyDescent="0.65">
      <c r="B57" s="53"/>
      <c r="C57" s="67"/>
    </row>
    <row r="58" spans="2:3" ht="21" x14ac:dyDescent="0.65">
      <c r="B58" s="53"/>
      <c r="C58" s="67"/>
    </row>
    <row r="59" spans="2:3" ht="21" x14ac:dyDescent="0.65">
      <c r="B59" s="53"/>
      <c r="C59" s="6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F47"/>
  <sheetViews>
    <sheetView topLeftCell="A34" zoomScale="130" zoomScaleNormal="130" workbookViewId="0">
      <selection activeCell="D45" sqref="D45"/>
    </sheetView>
  </sheetViews>
  <sheetFormatPr defaultRowHeight="14.25" x14ac:dyDescent="0.45"/>
  <cols>
    <col min="2" max="2" width="20.3984375" customWidth="1"/>
    <col min="3" max="3" width="17.3984375" customWidth="1"/>
    <col min="4" max="4" width="19" customWidth="1"/>
  </cols>
  <sheetData>
    <row r="2" spans="2:6" ht="15.75" x14ac:dyDescent="0.5">
      <c r="B2" s="144" t="str">
        <f>IF(OR(D15="Fits",D25="Fits",D35="Fits",D45="Fits")=TRUE,"Current Showerbase Fits", "Current Showerbase Doesn't Fit")</f>
        <v>Current Showerbase Doesn't Fit</v>
      </c>
      <c r="C2" s="144"/>
    </row>
    <row r="3" spans="2:6" ht="15.75" x14ac:dyDescent="0.5">
      <c r="B3" s="21" t="s">
        <v>40</v>
      </c>
      <c r="C3" s="21" t="s">
        <v>82</v>
      </c>
      <c r="F3" t="s">
        <v>76</v>
      </c>
    </row>
    <row r="4" spans="2:6" x14ac:dyDescent="0.45">
      <c r="B4" t="s">
        <v>45</v>
      </c>
      <c r="C4" t="s">
        <v>55</v>
      </c>
      <c r="F4" t="s">
        <v>77</v>
      </c>
    </row>
    <row r="5" spans="2:6" x14ac:dyDescent="0.45">
      <c r="B5" t="s">
        <v>46</v>
      </c>
      <c r="C5" t="s">
        <v>79</v>
      </c>
      <c r="F5" t="s">
        <v>78</v>
      </c>
    </row>
    <row r="8" spans="2:6" x14ac:dyDescent="0.45">
      <c r="B8" s="7" t="s">
        <v>72</v>
      </c>
    </row>
    <row r="9" spans="2:6" x14ac:dyDescent="0.45">
      <c r="B9" t="s">
        <v>41</v>
      </c>
      <c r="C9">
        <v>70</v>
      </c>
      <c r="D9">
        <f>IF(DimensionA_Expanded&lt;=C9, 0,1)</f>
        <v>1</v>
      </c>
    </row>
    <row r="10" spans="2:6" x14ac:dyDescent="0.45">
      <c r="B10" t="s">
        <v>42</v>
      </c>
      <c r="C10">
        <v>38</v>
      </c>
      <c r="D10">
        <f>IF(DimensionB_Expanded&lt;=C10, 0,1)</f>
        <v>0</v>
      </c>
    </row>
    <row r="11" spans="2:6" x14ac:dyDescent="0.45">
      <c r="B11" t="s">
        <v>44</v>
      </c>
      <c r="C11">
        <v>11.5</v>
      </c>
      <c r="D11">
        <f>IF(DimensionC_Expanded&lt;=C11, 0,1)</f>
        <v>1</v>
      </c>
    </row>
    <row r="12" spans="2:6" x14ac:dyDescent="0.45">
      <c r="B12" t="s">
        <v>53</v>
      </c>
      <c r="C12">
        <v>58.5</v>
      </c>
      <c r="D12">
        <f>IF(DimensionCOpp_Expanded&lt;=C12, 0,1)</f>
        <v>0</v>
      </c>
    </row>
    <row r="13" spans="2:6" x14ac:dyDescent="0.45">
      <c r="B13" t="s">
        <v>43</v>
      </c>
      <c r="C13">
        <v>19</v>
      </c>
      <c r="D13">
        <f>IF(DimensionD_Expanded&lt;=C13, 0,1)</f>
        <v>0</v>
      </c>
    </row>
    <row r="14" spans="2:6" x14ac:dyDescent="0.45">
      <c r="B14" t="s">
        <v>54</v>
      </c>
      <c r="C14">
        <v>19</v>
      </c>
      <c r="D14">
        <f>IF(DimensionDOpp_Expanded&lt;=C14, 0,1)</f>
        <v>0</v>
      </c>
    </row>
    <row r="15" spans="2:6" x14ac:dyDescent="0.45">
      <c r="B15" t="s">
        <v>75</v>
      </c>
      <c r="D15" t="str">
        <f>IF(SUM(D9:D14)=0,"Fits", "Doesn't Fit")</f>
        <v>Doesn't Fit</v>
      </c>
    </row>
    <row r="16" spans="2:6" x14ac:dyDescent="0.45">
      <c r="B16" s="20"/>
    </row>
    <row r="17" spans="2:4" ht="50.1" customHeight="1" x14ac:dyDescent="0.45"/>
    <row r="18" spans="2:4" x14ac:dyDescent="0.45">
      <c r="B18" s="7" t="s">
        <v>73</v>
      </c>
    </row>
    <row r="19" spans="2:4" x14ac:dyDescent="0.45">
      <c r="B19" t="s">
        <v>41</v>
      </c>
      <c r="C19">
        <v>38</v>
      </c>
      <c r="D19">
        <f>IF(DimensionA_Expanded&lt;=C19, 0,1)</f>
        <v>1</v>
      </c>
    </row>
    <row r="20" spans="2:4" x14ac:dyDescent="0.45">
      <c r="B20" t="s">
        <v>42</v>
      </c>
      <c r="C20">
        <v>70</v>
      </c>
      <c r="D20">
        <f>IF(DimensionB_Expanded&lt;=C20, 0,1)</f>
        <v>0</v>
      </c>
    </row>
    <row r="21" spans="2:4" x14ac:dyDescent="0.45">
      <c r="B21" t="s">
        <v>61</v>
      </c>
      <c r="C21">
        <v>19</v>
      </c>
      <c r="D21">
        <f>IF(DimensionC_Expanded&lt;=C21, 0,1)</f>
        <v>1</v>
      </c>
    </row>
    <row r="22" spans="2:4" x14ac:dyDescent="0.45">
      <c r="B22" t="s">
        <v>64</v>
      </c>
      <c r="C22">
        <v>19</v>
      </c>
      <c r="D22">
        <f>IF(DimensionCOpp_Expanded&lt;=C22, 0,1)</f>
        <v>1</v>
      </c>
    </row>
    <row r="23" spans="2:4" x14ac:dyDescent="0.45">
      <c r="B23" t="s">
        <v>62</v>
      </c>
      <c r="C23">
        <v>11.5</v>
      </c>
      <c r="D23">
        <f>IF(DimensionD_Expanded&lt;=C23, 0,1)</f>
        <v>1</v>
      </c>
    </row>
    <row r="24" spans="2:4" x14ac:dyDescent="0.45">
      <c r="B24" t="s">
        <v>63</v>
      </c>
      <c r="C24">
        <v>58.5</v>
      </c>
      <c r="D24">
        <f>IF(DimensionDOpp_Expanded&lt;=C24, 0,1)</f>
        <v>0</v>
      </c>
    </row>
    <row r="25" spans="2:4" x14ac:dyDescent="0.45">
      <c r="B25" t="s">
        <v>69</v>
      </c>
      <c r="D25" t="str">
        <f>IF(SUM(D19:D24)=0,"Fits", "Doesn't Fit")</f>
        <v>Doesn't Fit</v>
      </c>
    </row>
    <row r="27" spans="2:4" ht="50.1" customHeight="1" x14ac:dyDescent="0.45"/>
    <row r="28" spans="2:4" x14ac:dyDescent="0.45">
      <c r="B28" s="7" t="s">
        <v>56</v>
      </c>
    </row>
    <row r="29" spans="2:4" x14ac:dyDescent="0.45">
      <c r="B29" t="s">
        <v>41</v>
      </c>
      <c r="C29">
        <v>70</v>
      </c>
      <c r="D29">
        <f>IF(DimensionA_Expanded&lt;=C29, 0,1)</f>
        <v>1</v>
      </c>
    </row>
    <row r="30" spans="2:4" x14ac:dyDescent="0.45">
      <c r="B30" t="s">
        <v>42</v>
      </c>
      <c r="C30">
        <v>38</v>
      </c>
      <c r="D30">
        <f>IF(DimensionB_Expanded&lt;=C30, 0,1)</f>
        <v>0</v>
      </c>
    </row>
    <row r="31" spans="2:4" x14ac:dyDescent="0.45">
      <c r="B31" t="s">
        <v>57</v>
      </c>
      <c r="C31">
        <v>58.5</v>
      </c>
      <c r="D31">
        <f>IF(DimensionC_Expanded&lt;=C31, 0,1)</f>
        <v>0</v>
      </c>
    </row>
    <row r="32" spans="2:4" x14ac:dyDescent="0.45">
      <c r="B32" s="19" t="s">
        <v>58</v>
      </c>
      <c r="C32" s="19">
        <v>11.5</v>
      </c>
      <c r="D32">
        <f>IF(DimensionCOpp_Expanded&lt;=C32, 0,1)</f>
        <v>1</v>
      </c>
    </row>
    <row r="33" spans="2:4" x14ac:dyDescent="0.45">
      <c r="B33" t="s">
        <v>59</v>
      </c>
      <c r="C33">
        <v>19</v>
      </c>
      <c r="D33">
        <f>IF(DimensionD_Expanded&lt;=C33, 0,1)</f>
        <v>0</v>
      </c>
    </row>
    <row r="34" spans="2:4" x14ac:dyDescent="0.45">
      <c r="B34" s="19" t="s">
        <v>60</v>
      </c>
      <c r="C34">
        <v>19</v>
      </c>
      <c r="D34">
        <f>IF(DimensionDOpp_Expanded&lt;=C34, 0,1)</f>
        <v>0</v>
      </c>
    </row>
    <row r="35" spans="2:4" x14ac:dyDescent="0.45">
      <c r="B35" t="s">
        <v>69</v>
      </c>
      <c r="D35" t="str">
        <f>IF(SUM(D29:D34)=0,"Fits", "Doesn't Fit")</f>
        <v>Doesn't Fit</v>
      </c>
    </row>
    <row r="37" spans="2:4" ht="50.1" customHeight="1" x14ac:dyDescent="0.45"/>
    <row r="38" spans="2:4" x14ac:dyDescent="0.45">
      <c r="B38" s="7" t="s">
        <v>74</v>
      </c>
    </row>
    <row r="39" spans="2:4" x14ac:dyDescent="0.45">
      <c r="B39" t="s">
        <v>41</v>
      </c>
      <c r="C39">
        <v>38</v>
      </c>
      <c r="D39">
        <f>IF(DimensionA_Expanded&lt;=C39, 0,1)</f>
        <v>1</v>
      </c>
    </row>
    <row r="40" spans="2:4" x14ac:dyDescent="0.45">
      <c r="B40" t="s">
        <v>42</v>
      </c>
      <c r="C40">
        <v>70</v>
      </c>
      <c r="D40">
        <f>IF(DimensionB_Expanded&lt;=C40, 0,1)</f>
        <v>0</v>
      </c>
    </row>
    <row r="41" spans="2:4" x14ac:dyDescent="0.45">
      <c r="B41" t="s">
        <v>65</v>
      </c>
      <c r="C41">
        <v>19</v>
      </c>
      <c r="D41">
        <f>IF(DimensionC_Expanded&lt;=C41, 0,1)</f>
        <v>1</v>
      </c>
    </row>
    <row r="42" spans="2:4" x14ac:dyDescent="0.45">
      <c r="B42" t="s">
        <v>66</v>
      </c>
      <c r="C42">
        <v>19</v>
      </c>
      <c r="D42">
        <f>IF(DimensionCOpp_Expanded&lt;=C42, 0,1)</f>
        <v>1</v>
      </c>
    </row>
    <row r="43" spans="2:4" x14ac:dyDescent="0.45">
      <c r="B43" t="s">
        <v>67</v>
      </c>
      <c r="C43">
        <v>58.5</v>
      </c>
      <c r="D43">
        <f>IF(DimensionD_Expanded&lt;=C43, 0,1)</f>
        <v>0</v>
      </c>
    </row>
    <row r="44" spans="2:4" x14ac:dyDescent="0.45">
      <c r="B44" t="s">
        <v>68</v>
      </c>
      <c r="C44">
        <v>11.5</v>
      </c>
      <c r="D44">
        <f>IF(DimensionDOpp_Expanded&lt;=C44, 0,1)</f>
        <v>1</v>
      </c>
    </row>
    <row r="45" spans="2:4" x14ac:dyDescent="0.45">
      <c r="B45" t="s">
        <v>69</v>
      </c>
      <c r="D45" t="str">
        <f>IF(SUM(D39:D44)=0,"Fits", "Doesn't Fit")</f>
        <v>Doesn't Fit</v>
      </c>
    </row>
    <row r="47" spans="2:4" ht="72" customHeight="1" x14ac:dyDescent="0.45"/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47"/>
  <sheetViews>
    <sheetView topLeftCell="A22" workbookViewId="0">
      <selection activeCell="C12" sqref="C12"/>
    </sheetView>
  </sheetViews>
  <sheetFormatPr defaultRowHeight="14.25" x14ac:dyDescent="0.45"/>
  <cols>
    <col min="2" max="2" width="20.3984375" customWidth="1"/>
    <col min="3" max="3" width="17.3984375" customWidth="1"/>
    <col min="4" max="4" width="19" customWidth="1"/>
  </cols>
  <sheetData>
    <row r="2" spans="2:6" ht="15.75" x14ac:dyDescent="0.5">
      <c r="B2" s="144" t="str">
        <f>IF(OR(D15="Fits",D25="Fits",D35="Fits",D45="Fits")=TRUE,"Current Showerbase Fits", "Current Showerbase Doesn't Fit")</f>
        <v>Current Showerbase Doesn't Fit</v>
      </c>
      <c r="C2" s="144"/>
    </row>
    <row r="3" spans="2:6" ht="15.75" x14ac:dyDescent="0.5">
      <c r="B3" s="21" t="s">
        <v>40</v>
      </c>
      <c r="C3" s="21" t="s">
        <v>84</v>
      </c>
      <c r="F3" t="s">
        <v>76</v>
      </c>
    </row>
    <row r="4" spans="2:6" x14ac:dyDescent="0.45">
      <c r="B4" t="s">
        <v>45</v>
      </c>
      <c r="C4" t="s">
        <v>52</v>
      </c>
      <c r="F4" t="s">
        <v>77</v>
      </c>
    </row>
    <row r="5" spans="2:6" x14ac:dyDescent="0.45">
      <c r="B5" t="s">
        <v>46</v>
      </c>
      <c r="C5" t="s">
        <v>79</v>
      </c>
      <c r="F5" t="s">
        <v>78</v>
      </c>
    </row>
    <row r="8" spans="2:6" x14ac:dyDescent="0.45">
      <c r="B8" s="7" t="s">
        <v>72</v>
      </c>
    </row>
    <row r="9" spans="2:6" x14ac:dyDescent="0.45">
      <c r="B9" t="s">
        <v>41</v>
      </c>
      <c r="C9">
        <v>94</v>
      </c>
      <c r="D9">
        <f>IF(DimensionA_Expanded&lt;=C9, 0,1)</f>
        <v>0</v>
      </c>
    </row>
    <row r="10" spans="2:6" x14ac:dyDescent="0.45">
      <c r="B10" t="s">
        <v>42</v>
      </c>
      <c r="C10">
        <v>59</v>
      </c>
      <c r="D10">
        <f>IF(DimensionB_Expanded&lt;=C10, 0,1)</f>
        <v>0</v>
      </c>
    </row>
    <row r="11" spans="2:6" x14ac:dyDescent="0.45">
      <c r="B11" t="s">
        <v>44</v>
      </c>
      <c r="C11">
        <v>35</v>
      </c>
      <c r="D11">
        <f>IF(DimensionC_Expanded&lt;=C11, 0,1)</f>
        <v>1</v>
      </c>
    </row>
    <row r="12" spans="2:6" x14ac:dyDescent="0.45">
      <c r="B12" t="s">
        <v>53</v>
      </c>
      <c r="C12">
        <v>59</v>
      </c>
      <c r="D12">
        <f>IF(DimensionCOpp_Expanded&lt;=C12, 0,1)</f>
        <v>0</v>
      </c>
    </row>
    <row r="13" spans="2:6" x14ac:dyDescent="0.45">
      <c r="B13" t="s">
        <v>43</v>
      </c>
      <c r="C13">
        <v>29.5</v>
      </c>
      <c r="D13">
        <f>IF(DimensionD_Expanded&lt;=C13, 0,1)</f>
        <v>0</v>
      </c>
    </row>
    <row r="14" spans="2:6" x14ac:dyDescent="0.45">
      <c r="B14" t="s">
        <v>54</v>
      </c>
      <c r="C14">
        <v>29.5</v>
      </c>
      <c r="D14">
        <f>IF(DimensionDOpp_Expanded&lt;=C14, 0,1)</f>
        <v>0</v>
      </c>
    </row>
    <row r="15" spans="2:6" x14ac:dyDescent="0.45">
      <c r="B15" t="s">
        <v>75</v>
      </c>
      <c r="D15" t="str">
        <f>IF(SUM(D9:D14)=0,"Fits", "Doesn't Fit")</f>
        <v>Doesn't Fit</v>
      </c>
    </row>
    <row r="16" spans="2:6" x14ac:dyDescent="0.45">
      <c r="B16" s="20"/>
    </row>
    <row r="17" spans="2:4" ht="50.1" customHeight="1" x14ac:dyDescent="0.45"/>
    <row r="18" spans="2:4" x14ac:dyDescent="0.45">
      <c r="B18" s="7" t="s">
        <v>73</v>
      </c>
    </row>
    <row r="19" spans="2:4" x14ac:dyDescent="0.45">
      <c r="B19" t="s">
        <v>41</v>
      </c>
      <c r="C19">
        <v>59</v>
      </c>
      <c r="D19">
        <f>IF(DimensionA_Expanded&lt;=C19, 0,1)</f>
        <v>1</v>
      </c>
    </row>
    <row r="20" spans="2:4" x14ac:dyDescent="0.45">
      <c r="B20" t="s">
        <v>42</v>
      </c>
      <c r="C20">
        <v>94</v>
      </c>
      <c r="D20">
        <f>IF(DimensionB_Expanded&lt;=C20, 0,1)</f>
        <v>0</v>
      </c>
    </row>
    <row r="21" spans="2:4" x14ac:dyDescent="0.45">
      <c r="B21" t="s">
        <v>61</v>
      </c>
      <c r="C21">
        <v>29.5</v>
      </c>
      <c r="D21">
        <f>IF(DimensionC_Expanded&lt;=C21, 0,1)</f>
        <v>1</v>
      </c>
    </row>
    <row r="22" spans="2:4" x14ac:dyDescent="0.45">
      <c r="B22" t="s">
        <v>64</v>
      </c>
      <c r="C22">
        <v>29.5</v>
      </c>
      <c r="D22">
        <f>IF(DimensionCOpp_Expanded&lt;=C22, 0,1)</f>
        <v>1</v>
      </c>
    </row>
    <row r="23" spans="2:4" x14ac:dyDescent="0.45">
      <c r="B23" t="s">
        <v>62</v>
      </c>
      <c r="C23">
        <v>35</v>
      </c>
      <c r="D23">
        <f>IF(DimensionD_Expanded&lt;=C23, 0,1)</f>
        <v>0</v>
      </c>
    </row>
    <row r="24" spans="2:4" x14ac:dyDescent="0.45">
      <c r="B24" t="s">
        <v>63</v>
      </c>
      <c r="C24">
        <v>59</v>
      </c>
      <c r="D24">
        <f>IF(DimensionDOpp_Expanded&lt;=C24, 0,1)</f>
        <v>0</v>
      </c>
    </row>
    <row r="25" spans="2:4" x14ac:dyDescent="0.45">
      <c r="B25" t="s">
        <v>69</v>
      </c>
      <c r="D25" t="str">
        <f>IF(SUM(D19:D24)=0,"Fits", "Doesn't Fit")</f>
        <v>Doesn't Fit</v>
      </c>
    </row>
    <row r="27" spans="2:4" ht="50.1" customHeight="1" x14ac:dyDescent="0.45"/>
    <row r="28" spans="2:4" x14ac:dyDescent="0.45">
      <c r="B28" s="7" t="s">
        <v>56</v>
      </c>
    </row>
    <row r="29" spans="2:4" x14ac:dyDescent="0.45">
      <c r="B29" t="s">
        <v>41</v>
      </c>
      <c r="C29">
        <v>94</v>
      </c>
      <c r="D29">
        <f>IF(DimensionA_Expanded&lt;=C29, 0,1)</f>
        <v>0</v>
      </c>
    </row>
    <row r="30" spans="2:4" x14ac:dyDescent="0.45">
      <c r="B30" t="s">
        <v>42</v>
      </c>
      <c r="C30">
        <v>59</v>
      </c>
      <c r="D30">
        <f>IF(DimensionB_Expanded&lt;=C30, 0,1)</f>
        <v>0</v>
      </c>
    </row>
    <row r="31" spans="2:4" x14ac:dyDescent="0.45">
      <c r="B31" t="s">
        <v>57</v>
      </c>
      <c r="C31">
        <v>59</v>
      </c>
      <c r="D31">
        <f>IF(DimensionC_Expanded&lt;=C31, 0,1)</f>
        <v>0</v>
      </c>
    </row>
    <row r="32" spans="2:4" x14ac:dyDescent="0.45">
      <c r="B32" s="19" t="s">
        <v>58</v>
      </c>
      <c r="C32" s="19">
        <v>35</v>
      </c>
      <c r="D32">
        <f>IF(DimensionCOpp_Expanded&lt;=C32, 0,1)</f>
        <v>1</v>
      </c>
    </row>
    <row r="33" spans="2:4" x14ac:dyDescent="0.45">
      <c r="B33" t="s">
        <v>59</v>
      </c>
      <c r="C33">
        <v>29.5</v>
      </c>
      <c r="D33">
        <f>IF(DimensionD_Expanded&lt;=C33, 0,1)</f>
        <v>0</v>
      </c>
    </row>
    <row r="34" spans="2:4" x14ac:dyDescent="0.45">
      <c r="B34" s="19" t="s">
        <v>60</v>
      </c>
      <c r="C34">
        <v>29.5</v>
      </c>
      <c r="D34">
        <f>IF(DimensionDOpp_Expanded&lt;=C34, 0,1)</f>
        <v>0</v>
      </c>
    </row>
    <row r="35" spans="2:4" x14ac:dyDescent="0.45">
      <c r="B35" t="s">
        <v>69</v>
      </c>
      <c r="D35" t="str">
        <f>IF(SUM(D29:D34)=0,"Fits", "Doesn't Fit")</f>
        <v>Doesn't Fit</v>
      </c>
    </row>
    <row r="37" spans="2:4" ht="50.1" customHeight="1" x14ac:dyDescent="0.45"/>
    <row r="38" spans="2:4" x14ac:dyDescent="0.45">
      <c r="B38" s="7" t="s">
        <v>74</v>
      </c>
    </row>
    <row r="39" spans="2:4" x14ac:dyDescent="0.45">
      <c r="B39" t="s">
        <v>41</v>
      </c>
      <c r="C39">
        <v>59</v>
      </c>
      <c r="D39">
        <f>IF(DimensionA_Expanded&lt;=C39, 0,1)</f>
        <v>1</v>
      </c>
    </row>
    <row r="40" spans="2:4" x14ac:dyDescent="0.45">
      <c r="B40" t="s">
        <v>42</v>
      </c>
      <c r="C40">
        <v>94</v>
      </c>
      <c r="D40">
        <f>IF(DimensionB_Expanded&lt;=C40, 0,1)</f>
        <v>0</v>
      </c>
    </row>
    <row r="41" spans="2:4" x14ac:dyDescent="0.45">
      <c r="B41" t="s">
        <v>65</v>
      </c>
      <c r="C41">
        <v>29.5</v>
      </c>
      <c r="D41">
        <f>IF(DimensionC_Expanded&lt;=C41, 0,1)</f>
        <v>1</v>
      </c>
    </row>
    <row r="42" spans="2:4" x14ac:dyDescent="0.45">
      <c r="B42" t="s">
        <v>66</v>
      </c>
      <c r="C42">
        <v>29.5</v>
      </c>
      <c r="D42">
        <f>IF(DimensionCOpp_Expanded&lt;=C42, 0,1)</f>
        <v>1</v>
      </c>
    </row>
    <row r="43" spans="2:4" x14ac:dyDescent="0.45">
      <c r="B43" t="s">
        <v>67</v>
      </c>
      <c r="C43">
        <v>59</v>
      </c>
      <c r="D43">
        <f>IF(DimensionD_Expanded&lt;=C43, 0,1)</f>
        <v>0</v>
      </c>
    </row>
    <row r="44" spans="2:4" x14ac:dyDescent="0.45">
      <c r="B44" t="s">
        <v>68</v>
      </c>
      <c r="C44">
        <v>35</v>
      </c>
      <c r="D44">
        <f>IF(DimensionDOpp_Expanded&lt;=C44, 0,1)</f>
        <v>0</v>
      </c>
    </row>
    <row r="45" spans="2:4" x14ac:dyDescent="0.45">
      <c r="B45" t="s">
        <v>69</v>
      </c>
      <c r="D45" t="str">
        <f>IF(SUM(D39:D44)=0,"Fits", "Doesn't Fit")</f>
        <v>Doesn't Fit</v>
      </c>
    </row>
    <row r="47" spans="2:4" ht="72" customHeight="1" x14ac:dyDescent="0.45"/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F34"/>
  <sheetViews>
    <sheetView workbookViewId="0">
      <selection activeCell="P23" sqref="P23"/>
    </sheetView>
  </sheetViews>
  <sheetFormatPr defaultRowHeight="14.25" x14ac:dyDescent="0.45"/>
  <cols>
    <col min="2" max="2" width="20.3984375" customWidth="1"/>
    <col min="3" max="3" width="17.3984375" customWidth="1"/>
    <col min="4" max="4" width="19" customWidth="1"/>
  </cols>
  <sheetData>
    <row r="2" spans="2:6" ht="15.75" x14ac:dyDescent="0.5">
      <c r="B2" s="144" t="str">
        <f>IF(OR(D15="Fits",D25="Fits")=TRUE,"Current Showerbase Fits", "Current Showerbase Doesn't Fit")</f>
        <v>Current Showerbase Fits</v>
      </c>
      <c r="C2" s="144"/>
    </row>
    <row r="3" spans="2:6" ht="15.75" x14ac:dyDescent="0.5">
      <c r="B3" s="21" t="s">
        <v>40</v>
      </c>
      <c r="C3" s="21" t="s">
        <v>81</v>
      </c>
      <c r="F3" t="s">
        <v>76</v>
      </c>
    </row>
    <row r="4" spans="2:6" x14ac:dyDescent="0.45">
      <c r="B4" t="s">
        <v>45</v>
      </c>
      <c r="C4" t="s">
        <v>47</v>
      </c>
      <c r="F4" t="s">
        <v>77</v>
      </c>
    </row>
    <row r="5" spans="2:6" x14ac:dyDescent="0.45">
      <c r="B5" t="s">
        <v>46</v>
      </c>
      <c r="C5" t="s">
        <v>79</v>
      </c>
      <c r="F5" t="s">
        <v>78</v>
      </c>
    </row>
    <row r="8" spans="2:6" x14ac:dyDescent="0.45">
      <c r="B8" s="7" t="s">
        <v>72</v>
      </c>
    </row>
    <row r="9" spans="2:6" x14ac:dyDescent="0.45">
      <c r="B9" t="s">
        <v>41</v>
      </c>
      <c r="C9">
        <v>119.5</v>
      </c>
      <c r="D9">
        <f>IF(DimensionA_Expanded&lt;=C9, 0,1)</f>
        <v>0</v>
      </c>
    </row>
    <row r="10" spans="2:6" x14ac:dyDescent="0.45">
      <c r="B10" t="s">
        <v>42</v>
      </c>
      <c r="C10">
        <v>95.5</v>
      </c>
      <c r="D10">
        <f>IF(DimensionB_Expanded&lt;=C10, 0,1)</f>
        <v>0</v>
      </c>
    </row>
    <row r="11" spans="2:6" x14ac:dyDescent="0.45">
      <c r="B11" t="s">
        <v>44</v>
      </c>
      <c r="C11">
        <v>58.5</v>
      </c>
      <c r="D11">
        <f>IF(DimensionC_Expanded&lt;=C11, 0,1)</f>
        <v>0</v>
      </c>
    </row>
    <row r="12" spans="2:6" x14ac:dyDescent="0.45">
      <c r="B12" t="s">
        <v>53</v>
      </c>
      <c r="C12">
        <v>58.5</v>
      </c>
      <c r="D12">
        <f>IF(DimensionCOpp_Expanded&lt;=C12, 0,1)</f>
        <v>0</v>
      </c>
    </row>
    <row r="13" spans="2:6" x14ac:dyDescent="0.45">
      <c r="B13" t="s">
        <v>43</v>
      </c>
      <c r="C13">
        <v>46.75</v>
      </c>
      <c r="D13">
        <f>IF(DimensionD_Expanded&lt;=C13, 0,1)</f>
        <v>0</v>
      </c>
    </row>
    <row r="14" spans="2:6" x14ac:dyDescent="0.45">
      <c r="B14" t="s">
        <v>54</v>
      </c>
      <c r="C14">
        <v>46.75</v>
      </c>
      <c r="D14">
        <f>IF(DimensionDOpp_Expanded&lt;=C14, 0,1)</f>
        <v>0</v>
      </c>
    </row>
    <row r="15" spans="2:6" x14ac:dyDescent="0.45">
      <c r="B15" t="s">
        <v>75</v>
      </c>
      <c r="D15" t="str">
        <f>IF(SUM(D9:D14)=0,"Fits", "Doesn't Fit")</f>
        <v>Fits</v>
      </c>
    </row>
    <row r="16" spans="2:6" x14ac:dyDescent="0.45">
      <c r="B16" s="20"/>
    </row>
    <row r="17" spans="2:4" ht="50.1" customHeight="1" x14ac:dyDescent="0.45"/>
    <row r="18" spans="2:4" x14ac:dyDescent="0.45">
      <c r="B18" s="7" t="s">
        <v>73</v>
      </c>
    </row>
    <row r="19" spans="2:4" x14ac:dyDescent="0.45">
      <c r="B19" t="s">
        <v>41</v>
      </c>
      <c r="C19">
        <v>95.5</v>
      </c>
      <c r="D19">
        <f>IF(DimensionA_Expanded&lt;=C19, 0,1)</f>
        <v>0</v>
      </c>
    </row>
    <row r="20" spans="2:4" x14ac:dyDescent="0.45">
      <c r="B20" t="s">
        <v>42</v>
      </c>
      <c r="C20">
        <v>119.5</v>
      </c>
      <c r="D20">
        <f>IF(DimensionB_Expanded&lt;=C20, 0,1)</f>
        <v>0</v>
      </c>
    </row>
    <row r="21" spans="2:4" x14ac:dyDescent="0.45">
      <c r="B21" t="s">
        <v>61</v>
      </c>
      <c r="C21">
        <v>46.75</v>
      </c>
      <c r="D21">
        <f>IF(DimensionC_Expanded&lt;=C21, 0,1)</f>
        <v>0</v>
      </c>
    </row>
    <row r="22" spans="2:4" x14ac:dyDescent="0.45">
      <c r="B22" t="s">
        <v>64</v>
      </c>
      <c r="C22">
        <v>46.75</v>
      </c>
      <c r="D22">
        <f>IF(DimensionCOpp_Expanded&lt;=C22, 0,1)</f>
        <v>0</v>
      </c>
    </row>
    <row r="23" spans="2:4" x14ac:dyDescent="0.45">
      <c r="B23" t="s">
        <v>62</v>
      </c>
      <c r="C23">
        <v>58.5</v>
      </c>
      <c r="D23">
        <f>IF(DimensionD_Expanded&lt;=C23, 0,1)</f>
        <v>0</v>
      </c>
    </row>
    <row r="24" spans="2:4" x14ac:dyDescent="0.45">
      <c r="B24" t="s">
        <v>63</v>
      </c>
      <c r="C24">
        <v>58.5</v>
      </c>
      <c r="D24">
        <f>IF(DimensionDOpp_Expanded&lt;=C24, 0,1)</f>
        <v>0</v>
      </c>
    </row>
    <row r="25" spans="2:4" x14ac:dyDescent="0.45">
      <c r="B25" t="s">
        <v>69</v>
      </c>
      <c r="D25" t="str">
        <f>IF(SUM(D19:D24)=0,"Fits", "Doesn't Fit")</f>
        <v>Fits</v>
      </c>
    </row>
    <row r="27" spans="2:4" ht="50.1" customHeight="1" x14ac:dyDescent="0.45"/>
    <row r="28" spans="2:4" x14ac:dyDescent="0.45">
      <c r="B28" s="7"/>
    </row>
    <row r="32" spans="2:4" x14ac:dyDescent="0.45">
      <c r="B32" s="19"/>
      <c r="C32" s="19"/>
    </row>
    <row r="34" spans="2:2" x14ac:dyDescent="0.45">
      <c r="B34" s="19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F34"/>
  <sheetViews>
    <sheetView workbookViewId="0">
      <selection activeCell="P23" sqref="P23"/>
    </sheetView>
  </sheetViews>
  <sheetFormatPr defaultRowHeight="14.25" x14ac:dyDescent="0.45"/>
  <cols>
    <col min="2" max="2" width="20.3984375" customWidth="1"/>
    <col min="3" max="3" width="17.3984375" customWidth="1"/>
    <col min="4" max="4" width="19" customWidth="1"/>
  </cols>
  <sheetData>
    <row r="2" spans="2:6" ht="15.75" x14ac:dyDescent="0.5">
      <c r="B2" s="144" t="str">
        <f>IF(OR(D15="Fits",D25="Fits")=TRUE,"Current Showerbase Fits", "Current Showerbase Doesn't Fit")</f>
        <v>Current Showerbase Fits</v>
      </c>
      <c r="C2" s="144"/>
    </row>
    <row r="3" spans="2:6" ht="15.75" x14ac:dyDescent="0.5">
      <c r="B3" s="21" t="s">
        <v>40</v>
      </c>
      <c r="C3" s="21" t="s">
        <v>50</v>
      </c>
      <c r="F3" t="s">
        <v>76</v>
      </c>
    </row>
    <row r="4" spans="2:6" x14ac:dyDescent="0.45">
      <c r="B4" t="s">
        <v>45</v>
      </c>
      <c r="C4" t="s">
        <v>51</v>
      </c>
      <c r="F4" t="s">
        <v>77</v>
      </c>
    </row>
    <row r="5" spans="2:6" x14ac:dyDescent="0.45">
      <c r="B5" t="s">
        <v>46</v>
      </c>
      <c r="C5" t="s">
        <v>80</v>
      </c>
      <c r="F5" t="s">
        <v>78</v>
      </c>
    </row>
    <row r="8" spans="2:6" x14ac:dyDescent="0.45">
      <c r="B8" s="7" t="s">
        <v>72</v>
      </c>
    </row>
    <row r="9" spans="2:6" x14ac:dyDescent="0.45">
      <c r="B9" t="s">
        <v>41</v>
      </c>
      <c r="C9">
        <v>83</v>
      </c>
      <c r="D9">
        <f>IF(DimensionA_Expanded&lt;=C9, 0,1)</f>
        <v>0</v>
      </c>
    </row>
    <row r="10" spans="2:6" x14ac:dyDescent="0.45">
      <c r="B10" t="s">
        <v>42</v>
      </c>
      <c r="C10">
        <v>59</v>
      </c>
      <c r="D10">
        <f>IF(DimensionB_Expanded&lt;=C10, 0,1)</f>
        <v>0</v>
      </c>
    </row>
    <row r="11" spans="2:6" x14ac:dyDescent="0.45">
      <c r="B11" t="s">
        <v>44</v>
      </c>
      <c r="C11">
        <v>40.5</v>
      </c>
      <c r="D11">
        <f>IF(DimensionC_Expanded&lt;=C11, 0,1)</f>
        <v>0</v>
      </c>
    </row>
    <row r="12" spans="2:6" x14ac:dyDescent="0.45">
      <c r="B12" t="s">
        <v>53</v>
      </c>
      <c r="C12">
        <v>40.5</v>
      </c>
      <c r="D12">
        <f>IF(DimensionCOpp_Expanded&lt;=C12, 0,1)</f>
        <v>0</v>
      </c>
    </row>
    <row r="13" spans="2:6" x14ac:dyDescent="0.45">
      <c r="B13" t="s">
        <v>43</v>
      </c>
      <c r="C13">
        <v>29</v>
      </c>
      <c r="D13">
        <f>IF(DimensionD_Expanded&lt;=C13, 0,1)</f>
        <v>0</v>
      </c>
    </row>
    <row r="14" spans="2:6" x14ac:dyDescent="0.45">
      <c r="B14" t="s">
        <v>54</v>
      </c>
      <c r="C14">
        <v>29</v>
      </c>
      <c r="D14">
        <f>IF(DimensionDOpp_Expanded&lt;=C14, 0,1)</f>
        <v>0</v>
      </c>
    </row>
    <row r="15" spans="2:6" x14ac:dyDescent="0.45">
      <c r="B15" t="s">
        <v>75</v>
      </c>
      <c r="D15" t="str">
        <f>IF(SUM(D9:D14)=0,"Fits", "Doesn't Fit")</f>
        <v>Fits</v>
      </c>
    </row>
    <row r="16" spans="2:6" x14ac:dyDescent="0.45">
      <c r="B16" s="20"/>
    </row>
    <row r="17" spans="2:4" ht="50.1" customHeight="1" x14ac:dyDescent="0.45"/>
    <row r="18" spans="2:4" x14ac:dyDescent="0.45">
      <c r="B18" s="7" t="s">
        <v>73</v>
      </c>
    </row>
    <row r="19" spans="2:4" x14ac:dyDescent="0.45">
      <c r="B19" t="s">
        <v>41</v>
      </c>
      <c r="C19">
        <v>59</v>
      </c>
      <c r="D19">
        <f>IF(DimensionA_Expanded&lt;=C19, 0,1)</f>
        <v>1</v>
      </c>
    </row>
    <row r="20" spans="2:4" x14ac:dyDescent="0.45">
      <c r="B20" t="s">
        <v>42</v>
      </c>
      <c r="C20">
        <v>83</v>
      </c>
      <c r="D20">
        <f>IF(DimensionB_Expanded&lt;=C20, 0,1)</f>
        <v>0</v>
      </c>
    </row>
    <row r="21" spans="2:4" x14ac:dyDescent="0.45">
      <c r="B21" t="s">
        <v>61</v>
      </c>
      <c r="C21">
        <v>29</v>
      </c>
      <c r="D21">
        <f>IF(DimensionC_Expanded&lt;=C21, 0,1)</f>
        <v>1</v>
      </c>
    </row>
    <row r="22" spans="2:4" x14ac:dyDescent="0.45">
      <c r="B22" t="s">
        <v>64</v>
      </c>
      <c r="C22">
        <v>29</v>
      </c>
      <c r="D22">
        <f>IF(DimensionCOpp_Expanded&lt;=C22, 0,1)</f>
        <v>1</v>
      </c>
    </row>
    <row r="23" spans="2:4" x14ac:dyDescent="0.45">
      <c r="B23" t="s">
        <v>62</v>
      </c>
      <c r="C23">
        <v>40.5</v>
      </c>
      <c r="D23">
        <f>IF(DimensionD_Expanded&lt;=C23, 0,1)</f>
        <v>0</v>
      </c>
    </row>
    <row r="24" spans="2:4" x14ac:dyDescent="0.45">
      <c r="B24" t="s">
        <v>63</v>
      </c>
      <c r="C24">
        <v>40.5</v>
      </c>
      <c r="D24">
        <f>IF(DimensionDOpp_Expanded&lt;=C24, 0,1)</f>
        <v>0</v>
      </c>
    </row>
    <row r="25" spans="2:4" x14ac:dyDescent="0.45">
      <c r="B25" t="s">
        <v>69</v>
      </c>
      <c r="D25" t="str">
        <f>IF(SUM(D19:D24)=0,"Fits", "Doesn't Fit")</f>
        <v>Doesn't Fit</v>
      </c>
    </row>
    <row r="27" spans="2:4" ht="50.1" customHeight="1" x14ac:dyDescent="0.45"/>
    <row r="28" spans="2:4" x14ac:dyDescent="0.45">
      <c r="B28" s="7"/>
    </row>
    <row r="32" spans="2:4" x14ac:dyDescent="0.45">
      <c r="B32" s="19"/>
      <c r="C32" s="19"/>
    </row>
    <row r="34" spans="2:2" x14ac:dyDescent="0.45">
      <c r="B34" s="19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F34"/>
  <sheetViews>
    <sheetView workbookViewId="0">
      <selection activeCell="P23" sqref="P23"/>
    </sheetView>
  </sheetViews>
  <sheetFormatPr defaultRowHeight="14.25" x14ac:dyDescent="0.45"/>
  <cols>
    <col min="2" max="2" width="20.3984375" customWidth="1"/>
    <col min="3" max="3" width="17.3984375" customWidth="1"/>
    <col min="4" max="4" width="19" customWidth="1"/>
  </cols>
  <sheetData>
    <row r="2" spans="2:6" ht="15.75" x14ac:dyDescent="0.5">
      <c r="B2" s="144" t="str">
        <f>IF(OR(D15="Fits",D25="Fits")=TRUE,"Current Showerbase Fits", "Current Showerbase Doesn't Fit")</f>
        <v>Current Showerbase Fits</v>
      </c>
      <c r="C2" s="144"/>
    </row>
    <row r="3" spans="2:6" ht="15.75" x14ac:dyDescent="0.5">
      <c r="B3" s="21" t="s">
        <v>40</v>
      </c>
      <c r="C3" s="21" t="s">
        <v>48</v>
      </c>
      <c r="F3" t="s">
        <v>76</v>
      </c>
    </row>
    <row r="4" spans="2:6" x14ac:dyDescent="0.45">
      <c r="B4" t="s">
        <v>45</v>
      </c>
      <c r="C4" t="s">
        <v>49</v>
      </c>
      <c r="F4" t="s">
        <v>77</v>
      </c>
    </row>
    <row r="5" spans="2:6" x14ac:dyDescent="0.45">
      <c r="B5" t="s">
        <v>46</v>
      </c>
      <c r="C5" t="s">
        <v>80</v>
      </c>
      <c r="F5" t="s">
        <v>78</v>
      </c>
    </row>
    <row r="8" spans="2:6" x14ac:dyDescent="0.45">
      <c r="B8" s="7" t="s">
        <v>72</v>
      </c>
    </row>
    <row r="9" spans="2:6" x14ac:dyDescent="0.45">
      <c r="B9" t="s">
        <v>41</v>
      </c>
      <c r="C9">
        <v>119.5</v>
      </c>
      <c r="D9">
        <f>IF(DimensionA_Expanded&lt;=C9, 0,1)</f>
        <v>0</v>
      </c>
    </row>
    <row r="10" spans="2:6" x14ac:dyDescent="0.45">
      <c r="B10" t="s">
        <v>42</v>
      </c>
      <c r="C10">
        <v>71</v>
      </c>
      <c r="D10">
        <f>IF(DimensionB_Expanded&lt;=C10, 0,1)</f>
        <v>0</v>
      </c>
    </row>
    <row r="11" spans="2:6" x14ac:dyDescent="0.45">
      <c r="B11" t="s">
        <v>44</v>
      </c>
      <c r="C11">
        <v>58.5</v>
      </c>
      <c r="D11">
        <f>IF(DimensionC_Expanded&lt;=C11, 0,1)</f>
        <v>0</v>
      </c>
    </row>
    <row r="12" spans="2:6" x14ac:dyDescent="0.45">
      <c r="B12" t="s">
        <v>53</v>
      </c>
      <c r="C12">
        <v>58.5</v>
      </c>
      <c r="D12">
        <f>IF(DimensionCOpp_Expanded&lt;=C12, 0,1)</f>
        <v>0</v>
      </c>
    </row>
    <row r="13" spans="2:6" x14ac:dyDescent="0.45">
      <c r="B13" t="s">
        <v>43</v>
      </c>
      <c r="C13">
        <v>35.5</v>
      </c>
      <c r="D13">
        <f>IF(DimensionD_Expanded&lt;=C13, 0,1)</f>
        <v>0</v>
      </c>
    </row>
    <row r="14" spans="2:6" x14ac:dyDescent="0.45">
      <c r="B14" t="s">
        <v>54</v>
      </c>
      <c r="C14">
        <v>35.5</v>
      </c>
      <c r="D14">
        <f>IF(DimensionDOpp_Expanded&lt;=C14, 0,1)</f>
        <v>0</v>
      </c>
    </row>
    <row r="15" spans="2:6" x14ac:dyDescent="0.45">
      <c r="B15" t="s">
        <v>75</v>
      </c>
      <c r="D15" t="str">
        <f>IF(SUM(D9:D14)=0,"Fits", "Doesn't Fit")</f>
        <v>Fits</v>
      </c>
    </row>
    <row r="16" spans="2:6" x14ac:dyDescent="0.45">
      <c r="B16" s="20"/>
    </row>
    <row r="17" spans="2:4" ht="50.1" customHeight="1" x14ac:dyDescent="0.45"/>
    <row r="18" spans="2:4" x14ac:dyDescent="0.45">
      <c r="B18" s="7" t="s">
        <v>73</v>
      </c>
    </row>
    <row r="19" spans="2:4" x14ac:dyDescent="0.45">
      <c r="B19" t="s">
        <v>41</v>
      </c>
      <c r="C19">
        <v>71</v>
      </c>
      <c r="D19">
        <f>IF(DimensionA_Expanded&lt;=C19, 0,1)</f>
        <v>1</v>
      </c>
    </row>
    <row r="20" spans="2:4" x14ac:dyDescent="0.45">
      <c r="B20" t="s">
        <v>42</v>
      </c>
      <c r="C20">
        <v>119.5</v>
      </c>
      <c r="D20">
        <f>IF(DimensionB_Expanded&lt;=C20, 0,1)</f>
        <v>0</v>
      </c>
    </row>
    <row r="21" spans="2:4" x14ac:dyDescent="0.45">
      <c r="B21" t="s">
        <v>61</v>
      </c>
      <c r="C21">
        <v>35.5</v>
      </c>
      <c r="D21">
        <f>IF(DimensionC_Expanded&lt;=C21, 0,1)</f>
        <v>1</v>
      </c>
    </row>
    <row r="22" spans="2:4" x14ac:dyDescent="0.45">
      <c r="B22" t="s">
        <v>64</v>
      </c>
      <c r="C22">
        <v>35.5</v>
      </c>
      <c r="D22">
        <f>IF(DimensionCOpp_Expanded&lt;=C22, 0,1)</f>
        <v>1</v>
      </c>
    </row>
    <row r="23" spans="2:4" x14ac:dyDescent="0.45">
      <c r="B23" t="s">
        <v>62</v>
      </c>
      <c r="C23">
        <v>58.5</v>
      </c>
      <c r="D23">
        <f>IF(DimensionD_Expanded&lt;=C23, 0,1)</f>
        <v>0</v>
      </c>
    </row>
    <row r="24" spans="2:4" x14ac:dyDescent="0.45">
      <c r="B24" t="s">
        <v>63</v>
      </c>
      <c r="C24">
        <v>58.5</v>
      </c>
      <c r="D24">
        <f>IF(DimensionDOpp_Expanded&lt;=C24, 0,1)</f>
        <v>0</v>
      </c>
    </row>
    <row r="25" spans="2:4" x14ac:dyDescent="0.45">
      <c r="B25" t="s">
        <v>69</v>
      </c>
      <c r="D25" t="str">
        <f>IF(SUM(D19:D24)=0,"Fits", "Doesn't Fit")</f>
        <v>Doesn't Fit</v>
      </c>
    </row>
    <row r="27" spans="2:4" ht="50.1" customHeight="1" x14ac:dyDescent="0.45"/>
    <row r="28" spans="2:4" x14ac:dyDescent="0.45">
      <c r="B28" s="7"/>
    </row>
    <row r="32" spans="2:4" x14ac:dyDescent="0.45">
      <c r="B32" s="19"/>
      <c r="C32" s="19"/>
    </row>
    <row r="34" spans="2:2" x14ac:dyDescent="0.45">
      <c r="B34" s="19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F34"/>
  <sheetViews>
    <sheetView workbookViewId="0">
      <selection activeCell="P23" sqref="P23"/>
    </sheetView>
  </sheetViews>
  <sheetFormatPr defaultRowHeight="14.25" x14ac:dyDescent="0.45"/>
  <cols>
    <col min="2" max="2" width="20.3984375" customWidth="1"/>
    <col min="3" max="3" width="17.3984375" customWidth="1"/>
    <col min="4" max="4" width="19" customWidth="1"/>
  </cols>
  <sheetData>
    <row r="2" spans="2:6" ht="15.75" x14ac:dyDescent="0.5">
      <c r="B2" s="144" t="str">
        <f>IF(OR(D15="Fits",D25="Fits")=TRUE,"Current Showerbase Fits", "Current Showerbase Doesn't Fit")</f>
        <v>Current Showerbase Fits</v>
      </c>
      <c r="C2" s="144"/>
    </row>
    <row r="3" spans="2:6" ht="15.75" x14ac:dyDescent="0.5">
      <c r="B3" s="21" t="s">
        <v>40</v>
      </c>
      <c r="C3" s="21" t="s">
        <v>81</v>
      </c>
      <c r="F3" t="s">
        <v>76</v>
      </c>
    </row>
    <row r="4" spans="2:6" x14ac:dyDescent="0.45">
      <c r="B4" t="s">
        <v>45</v>
      </c>
      <c r="C4" t="s">
        <v>47</v>
      </c>
      <c r="F4" t="s">
        <v>77</v>
      </c>
    </row>
    <row r="5" spans="2:6" x14ac:dyDescent="0.45">
      <c r="B5" t="s">
        <v>46</v>
      </c>
      <c r="C5" t="s">
        <v>80</v>
      </c>
      <c r="F5" t="s">
        <v>78</v>
      </c>
    </row>
    <row r="8" spans="2:6" x14ac:dyDescent="0.45">
      <c r="B8" s="7" t="s">
        <v>72</v>
      </c>
    </row>
    <row r="9" spans="2:6" x14ac:dyDescent="0.45">
      <c r="B9" t="s">
        <v>41</v>
      </c>
      <c r="C9">
        <v>119.5</v>
      </c>
      <c r="D9">
        <f>IF(DimensionA_Expanded&lt;=C9, 0,1)</f>
        <v>0</v>
      </c>
    </row>
    <row r="10" spans="2:6" x14ac:dyDescent="0.45">
      <c r="B10" t="s">
        <v>42</v>
      </c>
      <c r="C10">
        <v>95.5</v>
      </c>
      <c r="D10">
        <f>IF(DimensionB_Expanded&lt;=C10, 0,1)</f>
        <v>0</v>
      </c>
    </row>
    <row r="11" spans="2:6" x14ac:dyDescent="0.45">
      <c r="B11" t="s">
        <v>44</v>
      </c>
      <c r="C11">
        <v>58.5</v>
      </c>
      <c r="D11">
        <f>IF(DimensionC_Expanded&lt;=C11, 0,1)</f>
        <v>0</v>
      </c>
    </row>
    <row r="12" spans="2:6" x14ac:dyDescent="0.45">
      <c r="B12" t="s">
        <v>53</v>
      </c>
      <c r="C12">
        <v>58.5</v>
      </c>
      <c r="D12">
        <f>IF(DimensionCOpp_Expanded&lt;=C12, 0,1)</f>
        <v>0</v>
      </c>
    </row>
    <row r="13" spans="2:6" x14ac:dyDescent="0.45">
      <c r="B13" t="s">
        <v>43</v>
      </c>
      <c r="C13">
        <v>46.75</v>
      </c>
      <c r="D13">
        <f>IF(DimensionD_Expanded&lt;=C13, 0,1)</f>
        <v>0</v>
      </c>
    </row>
    <row r="14" spans="2:6" x14ac:dyDescent="0.45">
      <c r="B14" t="s">
        <v>54</v>
      </c>
      <c r="C14">
        <v>46.75</v>
      </c>
      <c r="D14">
        <f>IF(DimensionDOpp_Expanded&lt;=C14, 0,1)</f>
        <v>0</v>
      </c>
    </row>
    <row r="15" spans="2:6" x14ac:dyDescent="0.45">
      <c r="B15" t="s">
        <v>75</v>
      </c>
      <c r="D15" t="str">
        <f>IF(SUM(D9:D14)=0,"Fits", "Doesn't Fit")</f>
        <v>Fits</v>
      </c>
    </row>
    <row r="16" spans="2:6" x14ac:dyDescent="0.45">
      <c r="B16" s="20"/>
    </row>
    <row r="17" spans="2:4" ht="50.1" customHeight="1" x14ac:dyDescent="0.45"/>
    <row r="18" spans="2:4" x14ac:dyDescent="0.45">
      <c r="B18" s="7" t="s">
        <v>73</v>
      </c>
    </row>
    <row r="19" spans="2:4" x14ac:dyDescent="0.45">
      <c r="B19" t="s">
        <v>41</v>
      </c>
      <c r="C19">
        <v>95.5</v>
      </c>
      <c r="D19">
        <f>IF(DimensionA_Expanded&lt;=C19, 0,1)</f>
        <v>0</v>
      </c>
    </row>
    <row r="20" spans="2:4" x14ac:dyDescent="0.45">
      <c r="B20" t="s">
        <v>42</v>
      </c>
      <c r="C20">
        <v>119.5</v>
      </c>
      <c r="D20">
        <f>IF(DimensionB_Expanded&lt;=C20, 0,1)</f>
        <v>0</v>
      </c>
    </row>
    <row r="21" spans="2:4" x14ac:dyDescent="0.45">
      <c r="B21" t="s">
        <v>61</v>
      </c>
      <c r="C21">
        <v>46.75</v>
      </c>
      <c r="D21">
        <f>IF(DimensionC_Expanded&lt;=C21, 0,1)</f>
        <v>0</v>
      </c>
    </row>
    <row r="22" spans="2:4" x14ac:dyDescent="0.45">
      <c r="B22" t="s">
        <v>64</v>
      </c>
      <c r="C22">
        <v>46.75</v>
      </c>
      <c r="D22">
        <f>IF(DimensionCOpp_Expanded&lt;=C22, 0,1)</f>
        <v>0</v>
      </c>
    </row>
    <row r="23" spans="2:4" x14ac:dyDescent="0.45">
      <c r="B23" t="s">
        <v>62</v>
      </c>
      <c r="C23">
        <v>58.5</v>
      </c>
      <c r="D23">
        <f>IF(DimensionD_Expanded&lt;=C23, 0,1)</f>
        <v>0</v>
      </c>
    </row>
    <row r="24" spans="2:4" x14ac:dyDescent="0.45">
      <c r="B24" t="s">
        <v>63</v>
      </c>
      <c r="C24">
        <v>58.5</v>
      </c>
      <c r="D24">
        <f>IF(DimensionDOpp_Expanded&lt;=C24, 0,1)</f>
        <v>0</v>
      </c>
    </row>
    <row r="25" spans="2:4" x14ac:dyDescent="0.45">
      <c r="B25" t="s">
        <v>69</v>
      </c>
      <c r="D25" t="str">
        <f>IF(SUM(D19:D24)=0,"Fits", "Doesn't Fit")</f>
        <v>Fits</v>
      </c>
    </row>
    <row r="27" spans="2:4" ht="50.1" customHeight="1" x14ac:dyDescent="0.45"/>
    <row r="28" spans="2:4" x14ac:dyDescent="0.45">
      <c r="B28" s="7"/>
    </row>
    <row r="32" spans="2:4" x14ac:dyDescent="0.45">
      <c r="B32" s="19"/>
      <c r="C32" s="19"/>
    </row>
    <row r="34" spans="2:2" x14ac:dyDescent="0.45">
      <c r="B34" s="19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A5"/>
  <sheetViews>
    <sheetView zoomScale="60" zoomScaleNormal="60" workbookViewId="0">
      <selection activeCell="A6" sqref="A6"/>
    </sheetView>
  </sheetViews>
  <sheetFormatPr defaultRowHeight="14.25" x14ac:dyDescent="0.45"/>
  <cols>
    <col min="1" max="1" width="18.1328125" customWidth="1"/>
    <col min="2" max="2" width="57.59765625" customWidth="1"/>
    <col min="3" max="3" width="14.265625" customWidth="1"/>
    <col min="4" max="4" width="12.86328125" customWidth="1"/>
    <col min="5" max="5" width="16.265625" customWidth="1"/>
  </cols>
  <sheetData>
    <row r="2" spans="1:1" ht="322.5" customHeight="1" x14ac:dyDescent="0.45">
      <c r="A2" s="23" t="s">
        <v>7</v>
      </c>
    </row>
    <row r="3" spans="1:1" ht="322.5" customHeight="1" x14ac:dyDescent="0.45">
      <c r="A3" s="23" t="s">
        <v>37</v>
      </c>
    </row>
    <row r="4" spans="1:1" ht="323.64999999999998" customHeight="1" x14ac:dyDescent="0.45">
      <c r="A4" s="23" t="s">
        <v>38</v>
      </c>
    </row>
    <row r="5" spans="1:1" ht="326.64999999999998" customHeight="1" x14ac:dyDescent="0.45">
      <c r="A5" s="23" t="s">
        <v>188</v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A5F6-CF88-4CFA-8DB6-244534D03681}">
  <sheetPr codeName="Sheet10"/>
  <dimension ref="A1:C6"/>
  <sheetViews>
    <sheetView workbookViewId="0">
      <selection activeCell="E2" sqref="E2"/>
    </sheetView>
  </sheetViews>
  <sheetFormatPr defaultRowHeight="14.25" x14ac:dyDescent="0.45"/>
  <cols>
    <col min="1" max="1" width="21.265625" style="76" customWidth="1"/>
    <col min="2" max="2" width="22.3984375" customWidth="1"/>
  </cols>
  <sheetData>
    <row r="1" spans="1:3" x14ac:dyDescent="0.45">
      <c r="A1" s="77"/>
      <c r="B1" s="48"/>
      <c r="C1" s="48"/>
    </row>
    <row r="2" spans="1:3" ht="123.95" customHeight="1" x14ac:dyDescent="0.45">
      <c r="A2" s="77" t="s">
        <v>175</v>
      </c>
      <c r="B2" s="48"/>
      <c r="C2" s="48"/>
    </row>
    <row r="3" spans="1:3" ht="126.4" customHeight="1" x14ac:dyDescent="0.45">
      <c r="A3" s="77" t="s">
        <v>149</v>
      </c>
      <c r="B3" s="48"/>
      <c r="C3" s="48"/>
    </row>
    <row r="4" spans="1:3" ht="123.95" customHeight="1" x14ac:dyDescent="0.45">
      <c r="A4" s="77" t="s">
        <v>176</v>
      </c>
      <c r="B4" s="48"/>
      <c r="C4" s="48"/>
    </row>
    <row r="5" spans="1:3" ht="123.95" customHeight="1" x14ac:dyDescent="0.45">
      <c r="A5" s="77" t="s">
        <v>177</v>
      </c>
      <c r="B5" s="48"/>
      <c r="C5" s="48"/>
    </row>
    <row r="6" spans="1:3" x14ac:dyDescent="0.45">
      <c r="A6" s="77"/>
      <c r="B6" s="48"/>
      <c r="C6" s="4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64</vt:i4>
      </vt:variant>
    </vt:vector>
  </HeadingPairs>
  <TitlesOfParts>
    <vt:vector size="74" baseType="lpstr">
      <vt:lpstr>Showerbase</vt:lpstr>
      <vt:lpstr>Export</vt:lpstr>
      <vt:lpstr>Tub Replacement (New)</vt:lpstr>
      <vt:lpstr>Medium (New)</vt:lpstr>
      <vt:lpstr>Giant (New)</vt:lpstr>
      <vt:lpstr>Small (Old)</vt:lpstr>
      <vt:lpstr>Medium (Old)</vt:lpstr>
      <vt:lpstr>Giant (Old)</vt:lpstr>
      <vt:lpstr>Colorswatch</vt:lpstr>
      <vt:lpstr>Diagrams</vt:lpstr>
      <vt:lpstr>Adhesive</vt:lpstr>
      <vt:lpstr>BaseOnlySquareFeet</vt:lpstr>
      <vt:lpstr>BoxLength_noThresh</vt:lpstr>
      <vt:lpstr>BoxLength_withThresh</vt:lpstr>
      <vt:lpstr>BoxWidth_noThresh</vt:lpstr>
      <vt:lpstr>BoxWidth_withThresh</vt:lpstr>
      <vt:lpstr>BufferLevel</vt:lpstr>
      <vt:lpstr>CompanyName</vt:lpstr>
      <vt:lpstr>Date</vt:lpstr>
      <vt:lpstr>DimensionA</vt:lpstr>
      <vt:lpstr>DimensionA_Expanded</vt:lpstr>
      <vt:lpstr>DimensionB</vt:lpstr>
      <vt:lpstr>DimensionB_Expanded</vt:lpstr>
      <vt:lpstr>DimensionC</vt:lpstr>
      <vt:lpstr>DimensionC_Expanded</vt:lpstr>
      <vt:lpstr>DimensionCOpp_Expanded</vt:lpstr>
      <vt:lpstr>DimensionD</vt:lpstr>
      <vt:lpstr>DimensionD_Expanded</vt:lpstr>
      <vt:lpstr>DimensionDOpp_Expanded</vt:lpstr>
      <vt:lpstr>FloorColor</vt:lpstr>
      <vt:lpstr>Jobname</vt:lpstr>
      <vt:lpstr>Layout</vt:lpstr>
      <vt:lpstr>LgExpansionBuffer</vt:lpstr>
      <vt:lpstr>MatrixWeight</vt:lpstr>
      <vt:lpstr>Minimum_Thickness</vt:lpstr>
      <vt:lpstr>MInimumThickness</vt:lpstr>
      <vt:lpstr>Notes</vt:lpstr>
      <vt:lpstr>OverallDimension_Label</vt:lpstr>
      <vt:lpstr>OverallLength</vt:lpstr>
      <vt:lpstr>OverallSize</vt:lpstr>
      <vt:lpstr>OverallWidth</vt:lpstr>
      <vt:lpstr>Showerbase!Print_Area</vt:lpstr>
      <vt:lpstr>Priority</vt:lpstr>
      <vt:lpstr>Q1_LegH</vt:lpstr>
      <vt:lpstr>Q1_LegV</vt:lpstr>
      <vt:lpstr>Q1_Weight</vt:lpstr>
      <vt:lpstr>Q2_LegH</vt:lpstr>
      <vt:lpstr>Q2_LegV</vt:lpstr>
      <vt:lpstr>Q2_Weight</vt:lpstr>
      <vt:lpstr>Q3_LegH</vt:lpstr>
      <vt:lpstr>Q3_LegV</vt:lpstr>
      <vt:lpstr>Q3_Weight</vt:lpstr>
      <vt:lpstr>Q4_LegH</vt:lpstr>
      <vt:lpstr>Q4_LegV</vt:lpstr>
      <vt:lpstr>Q4_Weight</vt:lpstr>
      <vt:lpstr>ShipTo</vt:lpstr>
      <vt:lpstr>SideCap</vt:lpstr>
      <vt:lpstr>Slope</vt:lpstr>
      <vt:lpstr>SmExpansionBuffer</vt:lpstr>
      <vt:lpstr>ThresholdColor</vt:lpstr>
      <vt:lpstr>ThresholdDimA</vt:lpstr>
      <vt:lpstr>ThresholdDimB</vt:lpstr>
      <vt:lpstr>ThresholdDimE</vt:lpstr>
      <vt:lpstr>ThresholdDimensionA</vt:lpstr>
      <vt:lpstr>ThresholdDimF</vt:lpstr>
      <vt:lpstr>ThresholdFits</vt:lpstr>
      <vt:lpstr>ThresholdHeight</vt:lpstr>
      <vt:lpstr>ThresholdInsideLeg</vt:lpstr>
      <vt:lpstr>ThresholdMatchOrDifferent</vt:lpstr>
      <vt:lpstr>ThresholdOutsideLeg</vt:lpstr>
      <vt:lpstr>ThresholdStyle</vt:lpstr>
      <vt:lpstr>ThresholdWidth</vt:lpstr>
      <vt:lpstr>WaterDamAttach</vt:lpstr>
      <vt:lpstr>WaterDams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2020-11-07T06:29:07Z</dcterms:modified>
</cp:coreProperties>
</file>